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092c4114f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" sheetId="1" r:id="Rd125b9633b4b47e9"/>
    <x:sheet xmlns:r="http://schemas.openxmlformats.org/officeDocument/2006/relationships" name="Doi chieu code" sheetId="2" r:id="Rf084f231af01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43244"/>
      <x:name val="Arial"/>
    </x:font>
    <x:font>
      <x:b/>
      <x:sz val="16"/>
      <x:color rgb="FF9A3412"/>
      <x:name val="Arial"/>
    </x:font>
    <x:font>
      <x:i/>
      <x:sz val="10"/>
      <x:color rgb="FF526171"/>
      <x:name val="Arial"/>
    </x:font>
    <x:font>
      <x:sz val="10"/>
      <x:color rgb="FF526171"/>
      <x:name val="Arial"/>
    </x:font>
    <x:font>
      <x:b/>
      <x:sz val="10"/>
      <x:color rgb="FFFFFFFF"/>
      <x:name val="Arial"/>
    </x:font>
    <x:font>
      <x:b/>
      <x:sz val="10"/>
      <x:color rgb="FF243244"/>
      <x:name val="Arial"/>
    </x:font>
    <x:font>
      <x:b/>
      <x:sz val="10"/>
      <x:color rgb="FF9F25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left" vertical="top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horizontal="left" vertical="top"/>
    </x:xf>
  </x:cellXfs>
  <x:cellStyles count="1">
    <x:cellStyle name="Normal" xfId="0"/>
  </x:cellStyles>
  <x:dxfs count="2">
    <x:dxf>
      <x:font>
        <x:b/>
        <x:color rgb="FF7C4A03"/>
      </x:font>
      <x:fill>
        <x:patternFill patternType="solid">
          <x:bgColor rgb="FFFFF4D6"/>
        </x:patternFill>
      </x:fill>
    </x:dxf>
    <x:dxf>
      <x:font>
        <x:b/>
        <x:color rgb="FF9F2522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0728b6682404f" /><Relationship Type="http://schemas.openxmlformats.org/officeDocument/2006/relationships/theme" Target="/xl/theme/theme1.xml" Id="Reb24475496114d71" /><Relationship Type="http://schemas.openxmlformats.org/officeDocument/2006/relationships/sharedStrings" Target="/xl/sharedStrings.xml" Id="Rdf225624a1ab4626" /><Relationship Type="http://schemas.openxmlformats.org/officeDocument/2006/relationships/worksheet" Target="/xl/worksheets/sheet1.xml" Id="Rd125b9633b4b47e9" /><Relationship Type="http://schemas.openxmlformats.org/officeDocument/2006/relationships/worksheet" Target="/xl/worksheets/sheet2.xml" Id="Rf084f231af01443b" /></Relationships>
</file>

<file path=xl/tables/table1.xml><?xml version="1.0" encoding="utf-8"?>
<x:table xmlns:x="http://schemas.openxmlformats.org/spreadsheetml/2006/main" id="1" name="ExpectedRegister" displayName="ExpectedRegister" ref="A10:H85" headerRowCount="1" totalsRowCount="0" totalsRowShown="0">
  <x:autoFilter ref="A10:H85"/>
  <x:tableColumns count="8">
    <x:tableColumn id="1" name="OHR"/>
    <x:tableColumn id="2" name="Case ID"/>
    <x:tableColumn id="3" name="Module"/>
    <x:tableColumn id="4" name="Kịch bản"/>
    <x:tableColumn id="5" name="Expected cần bảo vệ"/>
    <x:tableColumn id="6" name="Loại căn cứ"/>
    <x:tableColumn id="7" name="Trạng thái nguồn"/>
    <x:tableColumn id="8" name="Điểm cần làm r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rtionSources" displayName="AssertionSources" ref="A10:D85" headerRowCount="1" totalsRowCount="0" totalsRowShown="0">
  <x:autoFilter ref="A10:D85"/>
  <x:tableColumns count="4">
    <x:tableColumn id="1" name="OHR / Case ID"/>
    <x:tableColumn id="2" name="Assertion đang có trong code"/>
    <x:tableColumn id="3" name="Nguồn Expected / dẫn chiếu"/>
    <x:tableColumn id="4" name="Code test / PO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97130109c549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92114e3d8c4a4b" /></Relationships>
</file>

<file path=xl/worksheets/sheet1.xml><?xml version="1.0" encoding="utf-8"?>
<x:worksheet xmlns:x="http://schemas.openxmlformats.org/spreadsheetml/2006/main">
  <x:sheetPr>
    <x:tabColor rgb="FF9A3412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0.630000114440918" hidden="0" customWidth="1"/>
    <x:col min="2" max="2" width="15.630000114440918" hidden="0" customWidth="1"/>
    <x:col min="3" max="3" width="19.3799991607666" hidden="0" customWidth="1"/>
    <x:col min="4" max="4" width="31.8799991607666" hidden="0" customWidth="1"/>
    <x:col min="5" max="5" width="47.5" hidden="0" customWidth="1"/>
    <x:col min="6" max="6" width="35" hidden="0" customWidth="1"/>
    <x:col min="7" max="7" width="18.75" hidden="0" customWidth="1"/>
    <x:col min="8" max="8" width="50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Nguồn Expected của bộ kiểm thử OrangeHRM</x:v>
      </x:c>
      <x:c r="B2" s="2"/>
      <x:c r="C2" s="2"/>
      <x:c r="D2" s="2"/>
      <x:c r="E2" s="2"/>
      <x:c r="F2" s="2"/>
      <x:c r="G2" s="2"/>
      <x:c r="H2" s="2"/>
    </x:row>
    <x:row r="3" ht="18" customHeight="1">
      <x:c r="A3" s="2" t="str">
        <x:v>OrangeHRM local 5.9 theo tài liệu dự án. Rà soát 25/10/2026; chưa chạy test trong lần này.</x:v>
      </x:c>
      <x:c r="B3" s="2"/>
      <x:c r="C3" s="2"/>
      <x:c r="D3" s="2"/>
      <x:c r="E3" s="2"/>
      <x:c r="F3" s="2"/>
      <x:c r="G3" s="2"/>
      <x:c r="H3" s="2"/>
    </x:row>
    <x:row r="4" ht="18" customHeight="1">
      <x:c r="A4" s="2"/>
      <x:c r="B4" s="2"/>
      <x:c r="C4" s="2"/>
      <x:c r="D4" s="2"/>
      <x:c r="E4" s="2"/>
      <x:c r="F4" s="2"/>
      <x:c r="G4" s="2"/>
      <x:c r="H4" s="2"/>
    </x:row>
    <x:row r="5" ht="18" customHeight="1">
      <x:c r="A5" s="4" t="str">
        <x:v>@Test</x:v>
      </x:c>
      <x:c r="B5" s="18" t="n">
        <x:v>66</x:v>
      </x:c>
      <x:c r="C5" s="4" t="str">
        <x:v>Dòng đối chiếu</x:v>
      </x:c>
      <x:c r="D5" s="18" t="n">
        <x:f>COUNTA(B11:B85)</x:f>
        <x:v>75</x:v>
      </x:c>
      <x:c r="E5" s="4" t="str">
        <x:v>Đã đối chiếu</x:v>
      </x:c>
      <x:c r="F5" s="18" t="n">
        <x:f>COUNTIF(G11:G85,"Đã đối chiếu")</x:f>
        <x:v>20</x:v>
      </x:c>
      <x:c r="G5" s="4" t="str">
        <x:v>Cần xác nhận</x:v>
      </x:c>
      <x:c r="H5" s="18" t="n">
        <x:f>COUNTIF(G11:G85,"Cần xác nhận")</x:f>
        <x:v>50</x:v>
      </x:c>
    </x:row>
    <x:row r="6" ht="18" customHeight="1">
      <x:c r="A6" s="4" t="str">
        <x:v>Có mâu thuẫn</x:v>
      </x:c>
      <x:c r="B6" s="19" t="n">
        <x:f>COUNTIF(G11:G85,"Có mâu thuẫn")</x:f>
        <x:v>5</x:v>
      </x:c>
      <x:c r="C6" s="4" t="str">
        <x:v>Hai tab nối với nhau bằng OHR và Case ID.</x:v>
      </x:c>
      <x:c r="D6" s="4"/>
      <x:c r="E6" s="4"/>
      <x:c r="F6" s="4"/>
      <x:c r="G6" s="4"/>
      <x:c r="H6" s="4"/>
    </x:row>
    <x:row r="7" ht="18" customHeight="1">
      <x:c r="A7" s="5" t="str">
        <x:v>Trạng thái nguồn khác PASS/FAIL. Đã đối chiếu: có căn cứ đã so với test; chưa đồng nghĩa yêu cầu được phê duyệt.</x:v>
      </x:c>
      <x:c r="B7" s="5"/>
      <x:c r="C7" s="5"/>
      <x:c r="D7" s="5"/>
      <x:c r="E7" s="5"/>
      <x:c r="F7" s="5"/>
      <x:c r="G7" s="5"/>
      <x:c r="H7" s="5"/>
    </x:row>
    <x:row r="8" ht="18" customHeight="1">
      <x:c r="A8" s="5" t="str">
        <x:v>UI DataProvider gộp theo method. AUTHZ/INJ/REC tách theo case. Số dòng đối chiếu không phải tổng lượt chạy.</x:v>
      </x:c>
      <x:c r="B8" s="5"/>
      <x:c r="C8" s="5"/>
      <x:c r="D8" s="5"/>
      <x:c r="E8" s="5"/>
      <x:c r="F8" s="5"/>
      <x:c r="G8" s="5"/>
      <x:c r="H8" s="5"/>
    </x:row>
    <x:row r="9" ht="9" customHeight="1">
      <x:c r="A9" s="2"/>
      <x:c r="B9" s="2"/>
      <x:c r="C9" s="2"/>
      <x:c r="D9" s="2"/>
      <x:c r="E9" s="2"/>
      <x:c r="F9" s="2"/>
      <x:c r="G9" s="2"/>
      <x:c r="H9" s="2"/>
    </x:row>
    <x:row r="10" ht="31.5" customHeight="1">
      <x:c r="A10" s="12" t="str">
        <x:v>OHR</x:v>
      </x:c>
      <x:c r="B10" s="13" t="str">
        <x:v>Case ID</x:v>
      </x:c>
      <x:c r="C10" s="13" t="str">
        <x:v>Module</x:v>
      </x:c>
      <x:c r="D10" s="13" t="str">
        <x:v>Kịch bản</x:v>
      </x:c>
      <x:c r="E10" s="13" t="str">
        <x:v>Expected cần bảo vệ</x:v>
      </x:c>
      <x:c r="F10" s="13" t="str">
        <x:v>Loại căn cứ</x:v>
      </x:c>
      <x:c r="G10" s="13" t="str">
        <x:v>Trạng thái nguồn</x:v>
      </x:c>
      <x:c r="H10" s="14" t="str">
        <x:v>Điểm cần làm rõ</x:v>
      </x:c>
    </x:row>
    <x:row r="11" ht="48" customHeight="1">
      <x:c r="A11" s="16" t="str">
        <x:v>OHR1</x:v>
      </x:c>
      <x:c r="B11" s="16" t="str">
        <x:v>OHR1</x:v>
      </x:c>
      <x:c r="C11" s="16" t="str">
        <x:v>Login</x:v>
      </x:c>
      <x:c r="D11" s="16" t="str">
        <x:v>Đăng nhập hợp lệ</x:v>
      </x:c>
      <x:c r="E11" s="16" t="str">
        <x:v>Tài khoản hợp lệ đăng nhập được và mở vùng đã xác thực.</x:v>
      </x:c>
      <x:c r="F11" s="16" t="str">
        <x:v>Ý định trong test/POM; thiếu đặc tả độc lập</x:v>
      </x:c>
      <x:c r="G11" s="16" t="str">
        <x:v>Cần xác nhận</x:v>
      </x:c>
      <x:c r="H11" s="16" t="str">
        <x:v>Thiếu assertion sau đăng nhập; cần xác nhận màn hình/URL đích và tài khoản đối chứng.</x:v>
      </x:c>
    </x:row>
    <x:row r="12" ht="48" customHeight="1">
      <x:c r="A12" s="17" t="str">
        <x:v>OHR2</x:v>
      </x:c>
      <x:c r="B12" s="17" t="str">
        <x:v>OHR2</x:v>
      </x:c>
      <x:c r="C12" s="17" t="str">
        <x:v>Login</x:v>
      </x:c>
      <x:c r="D12" s="17" t="str">
        <x:v>Đăng nhập không hợp lệ (Excel)</x:v>
      </x:c>
      <x:c r="E12" s="17" t="str">
        <x:v>Mỗi bộ input sai bị từ chối; input rỗng hiện lỗi bắt buộc phù hợp.</x:v>
      </x:c>
      <x:c r="F12" s="17" t="str">
        <x:v>Ý định trong test/POM; thiếu đặc tả độc lập</x:v>
      </x:c>
      <x:c r="G12" s="17" t="str">
        <x:v>Cần xác nhận</x:v>
      </x:c>
      <x:c r="H12" s="17" t="str">
        <x:v>Gắn expected riêng cho từng dòng Excel và xác nhận vẫn chưa vào vùng đã đăng nhập.</x:v>
      </x:c>
    </x:row>
    <x:row r="13" ht="50.25" customHeight="1">
      <x:c r="A13" s="16" t="str">
        <x:v>OHR3</x:v>
      </x:c>
      <x:c r="B13" s="16" t="str">
        <x:v>OHR3</x:v>
      </x:c>
      <x:c r="C13" s="16" t="str">
        <x:v>Login</x:v>
      </x:c>
      <x:c r="D13" s="16" t="str">
        <x:v>Yêu cầu đặt lại mật khẩu</x:v>
      </x:c>
      <x:c r="E13" s="16" t="str">
        <x:v>Hiện xác nhận đã nhận yêu cầu reset; gửi email/đổi mật khẩu thuộc phạm vi khác.</x:v>
      </x:c>
      <x:c r="F13" s="16" t="str">
        <x:v>Ý định trong test/POM; thiếu đặc tả độc lập</x:v>
      </x:c>
      <x:c r="G13" s="16" t="str">
        <x:v>Cần xác nhận</x:v>
      </x:c>
      <x:c r="H13" s="16" t="str">
        <x:v>Xác nhận chỉ kiểm tra UI tiếp nhận yêu cầu. Không mô tả là đã reset mật khẩu thành công; trang quay lại đang cố định demo.</x:v>
      </x:c>
    </x:row>
    <x:row r="14" ht="50.25" customHeight="1">
      <x:c r="A14" s="17" t="str">
        <x:v>OHR4</x:v>
      </x:c>
      <x:c r="B14" s="17" t="str">
        <x:v>OHR4</x:v>
      </x:c>
      <x:c r="C14" s="17" t="str">
        <x:v>Admin / Users</x:v>
      </x:c>
      <x:c r="D14" s="17" t="str">
        <x:v>Tìm user hợp lệ</x:v>
      </x:c>
      <x:c r="E14" s="17" t="str">
        <x:v>Kết quả có user phù hợp các điều kiện đã nhập.</x:v>
      </x:c>
      <x:c r="F14" s="17" t="str">
        <x:v>Ý định trong test/POM; thiếu đặc tả độc lập</x:v>
      </x:c>
      <x:c r="G14" s="17" t="str">
        <x:v>Cần xác nhận</x:v>
      </x:c>
      <x:c r="H14" s="17" t="str">
        <x:v>Thiếu assert kết quả. Tên trong description ghi invalid nhưng class là valid; cần thống nhất và xác nhận dữ liệu đối chứng.</x:v>
      </x:c>
    </x:row>
    <x:row r="15" ht="50.25" customHeight="1">
      <x:c r="A15" s="16" t="str">
        <x:v>OHR5</x:v>
      </x:c>
      <x:c r="B15" s="16" t="str">
        <x:v>OHR5</x:v>
      </x:c>
      <x:c r="C15" s="16" t="str">
        <x:v>Admin / Users</x:v>
      </x:c>
      <x:c r="D15" s="16" t="str">
        <x:v>Tìm user không khớp (Excel)</x:v>
      </x:c>
      <x:c r="E15" s="16" t="str">
        <x:v>Bộ lọc không khớp dữ liệu chuẩn bị trả No Records Found.</x:v>
      </x:c>
      <x:c r="F15" s="16" t="str">
        <x:v>Ý định trong test/POM; thiếu đặc tả độc lập</x:v>
      </x:c>
      <x:c r="G15" s="16" t="str">
        <x:v>Cần xác nhận</x:v>
      </x:c>
      <x:c r="H15" s="16" t="str">
        <x:v>Chứng minh từng dòng thực sự không khớp dataset hiện tại; không coi mọi input được đặt tên invalid đều không có kết quả.</x:v>
      </x:c>
    </x:row>
    <x:row r="16" ht="48" customHeight="1">
      <x:c r="A16" s="17" t="str">
        <x:v>OHR6</x:v>
      </x:c>
      <x:c r="B16" s="17" t="str">
        <x:v>OHR6</x:v>
      </x:c>
      <x:c r="C16" s="17" t="str">
        <x:v>Admin / Users</x:v>
      </x:c>
      <x:c r="D16" s="17" t="str">
        <x:v>Tạo user</x:v>
      </x:c>
      <x:c r="E16" s="17" t="str">
        <x:v>Lưu user hợp lệ, hiện thông báo thành công; user mới có thông tin đúng.</x:v>
      </x:c>
      <x:c r="F16" s="17" t="str">
        <x:v>Ý định trong test/POM; thiếu đặc tả độc lập</x:v>
      </x:c>
      <x:c r="G16" s="17" t="str">
        <x:v>Cần xác nhận</x:v>
      </x:c>
      <x:c r="H16" s="17" t="str">
        <x:v>Xác nhận quy tắc tài khoản và đọc lại đúng username/role/status sau refresh.</x:v>
      </x:c>
    </x:row>
    <x:row r="17" ht="48" customHeight="1">
      <x:c r="A17" s="16" t="str">
        <x:v>OHR7</x:v>
      </x:c>
      <x:c r="B17" s="16" t="str">
        <x:v>OHR7</x:v>
      </x:c>
      <x:c r="C17" s="16" t="str">
        <x:v>Admin / Users</x:v>
      </x:c>
      <x:c r="D17" s="16" t="str">
        <x:v>Đổi mật khẩu user</x:v>
      </x:c>
      <x:c r="E17" s="16" t="str">
        <x:v>Thay đổi mật khẩu của user thử được lưu theo quy tắc.</x:v>
      </x:c>
      <x:c r="F17" s="16" t="str">
        <x:v>Ý định trong test/POM; thiếu đặc tả độc lập</x:v>
      </x:c>
      <x:c r="G17" s="16" t="str">
        <x:v>Cần xác nhận</x:v>
      </x:c>
      <x:c r="H17" s="16" t="str">
        <x:v>Cần căn cứ quy tắc mật khẩu và bằng chứng đổi mật khẩu thực sự có hiệu lực.</x:v>
      </x:c>
    </x:row>
    <x:row r="18" ht="48" customHeight="1">
      <x:c r="A18" s="17" t="str">
        <x:v>OHR8</x:v>
      </x:c>
      <x:c r="B18" s="17" t="str">
        <x:v>OHR8</x:v>
      </x:c>
      <x:c r="C18" s="17" t="str">
        <x:v>Admin / Users</x:v>
      </x:c>
      <x:c r="D18" s="17" t="str">
        <x:v>Xóa user</x:v>
      </x:c>
      <x:c r="E18" s="17" t="str">
        <x:v>User thử bị xóa và không còn tìm thấy trong phạm vi danh sách.</x:v>
      </x:c>
      <x:c r="F18" s="17" t="str">
        <x:v>Ý định trong test/POM; thiếu đặc tả độc lập</x:v>
      </x:c>
      <x:c r="G18" s="17" t="str">
        <x:v>Cần xác nhận</x:v>
      </x:c>
      <x:c r="H18" s="17" t="str">
        <x:v>Xác nhận user được phép xóa và đọc lại danh sách theo username riêng.</x:v>
      </x:c>
    </x:row>
    <x:row r="19" ht="48" customHeight="1">
      <x:c r="A19" s="16" t="str">
        <x:v>OHR9</x:v>
      </x:c>
      <x:c r="B19" s="16" t="str">
        <x:v>OHR9</x:v>
      </x:c>
      <x:c r="C19" s="16" t="str">
        <x:v>Admin / Job</x:v>
      </x:c>
      <x:c r="D19" s="16" t="str">
        <x:v>Tạo Job Title</x:v>
      </x:c>
      <x:c r="E19" s="16" t="str">
        <x:v>Job Title và dữ liệu nhập được lưu.</x:v>
      </x:c>
      <x:c r="F19" s="16" t="str">
        <x:v>Ý định trong test/POM; thiếu đặc tả độc lập</x:v>
      </x:c>
      <x:c r="G19" s="16" t="str">
        <x:v>Cần xác nhận</x:v>
      </x:c>
      <x:c r="H19" s="16" t="str">
        <x:v>Đối chiếu hướng dẫn/requirement và kiểm tra lại Job Title, mô tả, file nếu thuộc phạm vi.</x:v>
      </x:c>
    </x:row>
    <x:row r="20" ht="48" customHeight="1">
      <x:c r="A20" s="17" t="str">
        <x:v>OHR10</x:v>
      </x:c>
      <x:c r="B20" s="17" t="str">
        <x:v>OHR10</x:v>
      </x:c>
      <x:c r="C20" s="17" t="str">
        <x:v>Admin / Job</x:v>
      </x:c>
      <x:c r="D20" s="17" t="str">
        <x:v>Sửa Job Title</x:v>
      </x:c>
      <x:c r="E20" s="17" t="str">
        <x:v>Mô tả Job Title thử đổi thành giá trị mới.</x:v>
      </x:c>
      <x:c r="F20" s="17" t="str">
        <x:v>Ý định trong test/POM; thiếu đặc tả độc lập</x:v>
      </x:c>
      <x:c r="G20" s="17" t="str">
        <x:v>Cần xác nhận</x:v>
      </x:c>
      <x:c r="H20" s="17" t="str">
        <x:v>Đọc lại mô tả sau refresh; chốt field nào thực sự được sửa.</x:v>
      </x:c>
    </x:row>
    <x:row r="21" ht="48" customHeight="1">
      <x:c r="A21" s="16" t="str">
        <x:v>OHR11</x:v>
      </x:c>
      <x:c r="B21" s="16" t="str">
        <x:v>OHR11</x:v>
      </x:c>
      <x:c r="C21" s="16" t="str">
        <x:v>Admin / Job</x:v>
      </x:c>
      <x:c r="D21" s="16" t="str">
        <x:v>Xóa Job Title</x:v>
      </x:c>
      <x:c r="E21" s="16" t="str">
        <x:v>Job Title thử được xóa nếu không bị ràng buộc nghiệp vụ.</x:v>
      </x:c>
      <x:c r="F21" s="16" t="str">
        <x:v>Ý định trong test/POM; thiếu đặc tả độc lập</x:v>
      </x:c>
      <x:c r="G21" s="16" t="str">
        <x:v>Cần xác nhận</x:v>
      </x:c>
      <x:c r="H21" s="16" t="str">
        <x:v>Chốt tiền điều kiện Job Title không bị dùng và tìm lại sau xóa.</x:v>
      </x:c>
    </x:row>
    <x:row r="22" ht="48" customHeight="1">
      <x:c r="A22" s="17" t="str">
        <x:v>OHR12</x:v>
      </x:c>
      <x:c r="B22" s="17" t="str">
        <x:v>OHR12</x:v>
      </x:c>
      <x:c r="C22" s="17" t="str">
        <x:v>Admin / Locations</x:v>
      </x:c>
      <x:c r="D22" s="17" t="str">
        <x:v>Tạo Location</x:v>
      </x:c>
      <x:c r="E22" s="17" t="str">
        <x:v>Location hợp lệ được lưu cùng thông tin nhập.</x:v>
      </x:c>
      <x:c r="F22" s="17" t="str">
        <x:v>Ý định trong test/POM; thiếu đặc tả độc lập</x:v>
      </x:c>
      <x:c r="G22" s="17" t="str">
        <x:v>Cần xác nhận</x:v>
      </x:c>
      <x:c r="H22" s="17" t="str">
        <x:v>Đọc lại Location; đối chiếu field và quy tắc bắt buộc.</x:v>
      </x:c>
    </x:row>
    <x:row r="23" ht="48" customHeight="1">
      <x:c r="A23" s="16" t="str">
        <x:v>OHR13</x:v>
      </x:c>
      <x:c r="B23" s="16" t="str">
        <x:v>OHR13</x:v>
      </x:c>
      <x:c r="C23" s="16" t="str">
        <x:v>Admin / Locations</x:v>
      </x:c>
      <x:c r="D23" s="16" t="str">
        <x:v>Xóa Location</x:v>
      </x:c>
      <x:c r="E23" s="16" t="str">
        <x:v>Location thử không còn sau khi xóa hợp lệ.</x:v>
      </x:c>
      <x:c r="F23" s="16" t="str">
        <x:v>Ý định trong test/POM; thiếu đặc tả độc lập</x:v>
      </x:c>
      <x:c r="G23" s="16" t="str">
        <x:v>Cần xác nhận</x:v>
      </x:c>
      <x:c r="H23" s="16" t="str">
        <x:v>Xác nhận điều kiện cho phép xóa và đọc lại danh sách.</x:v>
      </x:c>
    </x:row>
    <x:row r="24" ht="48" customHeight="1">
      <x:c r="A24" s="17" t="str">
        <x:v>OHR14</x:v>
      </x:c>
      <x:c r="B24" s="17" t="str">
        <x:v>OHR14</x:v>
      </x:c>
      <x:c r="C24" s="17" t="str">
        <x:v>Admin / Locations</x:v>
      </x:c>
      <x:c r="D24" s="17" t="str">
        <x:v>Sửa City của Location</x:v>
      </x:c>
      <x:c r="E24" s="17" t="str">
        <x:v>City của Location thử bằng giá trị mới sau lưu.</x:v>
      </x:c>
      <x:c r="F24" s="17" t="str">
        <x:v>Ý định trong test/POM; thiếu đặc tả độc lập</x:v>
      </x:c>
      <x:c r="G24" s="17" t="str">
        <x:v>Cần xác nhận</x:v>
      </x:c>
      <x:c r="H24" s="17" t="str">
        <x:v>Đọc lại đúng Location và City sau refresh.</x:v>
      </x:c>
    </x:row>
    <x:row r="25" ht="48" customHeight="1">
      <x:c r="A25" s="16" t="str">
        <x:v>OHR15</x:v>
      </x:c>
      <x:c r="B25" s="16" t="str">
        <x:v>OHR15</x:v>
      </x:c>
      <x:c r="C25" s="16" t="str">
        <x:v>Admin / Locations</x:v>
      </x:c>
      <x:c r="D25" s="16" t="str">
        <x:v>Tìm Location (Excel)</x:v>
      </x:c>
      <x:c r="E25" s="16" t="str">
        <x:v>Kết quả phù hợp name/city/country đã nhập.</x:v>
      </x:c>
      <x:c r="F25" s="16" t="str">
        <x:v>Ý định trong test/POM; thiếu đặc tả độc lập</x:v>
      </x:c>
      <x:c r="G25" s="16" t="str">
        <x:v>Cần xác nhận</x:v>
      </x:c>
      <x:c r="H25" s="16" t="str">
        <x:v>Thiếu assert kết quả. Helper chỉ cần có một dòng chứa các keyword; chưa chứng minh mọi dòng đều đúng filter.</x:v>
      </x:c>
    </x:row>
    <x:row r="26" ht="48" customHeight="1">
      <x:c r="A26" s="17" t="str">
        <x:v>OHR16</x:v>
      </x:c>
      <x:c r="B26" s="17" t="str">
        <x:v>OHR16</x:v>
      </x:c>
      <x:c r="C26" s="17" t="str">
        <x:v>Admin / Qualifications</x:v>
      </x:c>
      <x:c r="D26" s="17" t="str">
        <x:v>Tạo Skill</x:v>
      </x:c>
      <x:c r="E26" s="17" t="str">
        <x:v>Skill hợp lệ được lưu.</x:v>
      </x:c>
      <x:c r="F26" s="17" t="str">
        <x:v>Ý định trong test/POM; thiếu đặc tả độc lập</x:v>
      </x:c>
      <x:c r="G26" s="17" t="str">
        <x:v>Cần xác nhận</x:v>
      </x:c>
      <x:c r="H26" s="17" t="str">
        <x:v>Bổ sung căn cứ field/rule và đọc lại tên, mô tả Skill.</x:v>
      </x:c>
    </x:row>
    <x:row r="27" ht="48" customHeight="1">
      <x:c r="A27" s="16" t="str">
        <x:v>OHR17</x:v>
      </x:c>
      <x:c r="B27" s="16" t="str">
        <x:v>OHR17</x:v>
      </x:c>
      <x:c r="C27" s="16" t="str">
        <x:v>Admin / Qualifications</x:v>
      </x:c>
      <x:c r="D27" s="16" t="str">
        <x:v>Sửa Skill</x:v>
      </x:c>
      <x:c r="E27" s="16" t="str">
        <x:v>Mô tả Skill được lưu bằng giá trị mới.</x:v>
      </x:c>
      <x:c r="F27" s="16" t="str">
        <x:v>Ý định trong test/POM; thiếu đặc tả độc lập</x:v>
      </x:c>
      <x:c r="G27" s="16" t="str">
        <x:v>Cần xác nhận</x:v>
      </x:c>
      <x:c r="H27" s="16" t="str">
        <x:v>Đọc lại mô tả sau refresh, xác nhận đang sửa đúng Skill.</x:v>
      </x:c>
    </x:row>
    <x:row r="28" ht="48" customHeight="1">
      <x:c r="A28" s="17" t="str">
        <x:v>OHR18</x:v>
      </x:c>
      <x:c r="B28" s="17" t="str">
        <x:v>OHR18</x:v>
      </x:c>
      <x:c r="C28" s="17" t="str">
        <x:v>Admin / Qualifications</x:v>
      </x:c>
      <x:c r="D28" s="17" t="str">
        <x:v>Xóa Skill</x:v>
      </x:c>
      <x:c r="E28" s="17" t="str">
        <x:v>Skill thử không còn sau xóa hợp lệ.</x:v>
      </x:c>
      <x:c r="F28" s="17" t="str">
        <x:v>Ý định trong test/POM; thiếu đặc tả độc lập</x:v>
      </x:c>
      <x:c r="G28" s="17" t="str">
        <x:v>Cần xác nhận</x:v>
      </x:c>
      <x:c r="H28" s="17" t="str">
        <x:v>Đọc lại danh sách theo tên Skill; log hiện ghi Edit dù đang Delete.</x:v>
      </x:c>
    </x:row>
    <x:row r="29" ht="48" customHeight="1">
      <x:c r="A29" s="16" t="str">
        <x:v>OHR19</x:v>
      </x:c>
      <x:c r="B29" s="16" t="str">
        <x:v>OHR19</x:v>
      </x:c>
      <x:c r="C29" s="16" t="str">
        <x:v>PIM</x:v>
      </x:c>
      <x:c r="D29" s="16" t="str">
        <x:v>Tạo employee bằng UI</x:v>
      </x:c>
      <x:c r="E29" s="16" t="str">
        <x:v>Employee và tùy chọn Login Details được lưu đúng input.</x:v>
      </x:c>
      <x:c r="F29" s="16" t="str">
        <x:v>Ý định trong test/POM; thiếu đặc tả độc lập</x:v>
      </x:c>
      <x:c r="G29" s="16" t="str">
        <x:v>Cần xác nhận</x:v>
      </x:c>
      <x:c r="H29" s="16" t="str">
        <x:v>Đọc lại employeeId/tên; xác minh Login Details và trạng thái tài khoản nếu tuyên bố đã kiểm tra.</x:v>
      </x:c>
    </x:row>
    <x:row r="30" ht="48" customHeight="1">
      <x:c r="A30" s="17" t="str">
        <x:v>OHR20</x:v>
      </x:c>
      <x:c r="B30" s="17" t="str">
        <x:v>OHR20</x:v>
      </x:c>
      <x:c r="C30" s="17" t="str">
        <x:v>PIM</x:v>
      </x:c>
      <x:c r="D30" s="17" t="str">
        <x:v>Sửa Job Details</x:v>
      </x:c>
      <x:c r="E30" s="17" t="str">
        <x:v>Job Details của employee thử lưu đúng field nhập.</x:v>
      </x:c>
      <x:c r="F30" s="17" t="str">
        <x:v>Ý định trong test/POM; thiếu đặc tả độc lập</x:v>
      </x:c>
      <x:c r="G30" s="17" t="str">
        <x:v>Cần xác nhận</x:v>
      </x:c>
      <x:c r="H30" s="17" t="str">
        <x:v>Đọc lại ngày vào làm/chức danh/đơn vị/địa điểm/trạng thái sau refresh.</x:v>
      </x:c>
    </x:row>
    <x:row r="31" ht="48" customHeight="1">
      <x:c r="A31" s="16" t="str">
        <x:v>OHR21</x:v>
      </x:c>
      <x:c r="B31" s="16" t="str">
        <x:v>OHR21</x:v>
      </x:c>
      <x:c r="C31" s="16" t="str">
        <x:v>PIM</x:v>
      </x:c>
      <x:c r="D31" s="16" t="str">
        <x:v>Thêm Salary Component</x:v>
      </x:c>
      <x:c r="E31" s="16" t="str">
        <x:v>Salary Component được lưu đúng thông tin nhập.</x:v>
      </x:c>
      <x:c r="F31" s="16" t="str">
        <x:v>Ý định trong test/POM; thiếu đặc tả độc lập</x:v>
      </x:c>
      <x:c r="G31" s="16" t="str">
        <x:v>Cần xác nhận</x:v>
      </x:c>
      <x:c r="H31" s="16" t="str">
        <x:v>Đọc lại component/số tiền/currency; xác nhận quy tắc Pay Grade và giới hạn nếu thuộc phạm vi.</x:v>
      </x:c>
    </x:row>
    <x:row r="32" ht="48" customHeight="1">
      <x:c r="A32" s="17" t="str">
        <x:v>OHR22</x:v>
      </x:c>
      <x:c r="B32" s="17" t="str">
        <x:v>OHR22</x:v>
      </x:c>
      <x:c r="C32" s="17" t="str">
        <x:v>PIM</x:v>
      </x:c>
      <x:c r="D32" s="17" t="str">
        <x:v>Thêm Supervisor</x:v>
      </x:c>
      <x:c r="E32" s="17" t="str">
        <x:v>Supervisor và Reporting Method được gắn đúng employee.</x:v>
      </x:c>
      <x:c r="F32" s="17" t="str">
        <x:v>Ý định trong test/POM; thiếu đặc tả độc lập</x:v>
      </x:c>
      <x:c r="G32" s="17" t="str">
        <x:v>Cần xác nhận</x:v>
      </x:c>
      <x:c r="H32" s="17" t="str">
        <x:v>Đọc lại supervisor/method; description hiện ghi Salary không khớp thao tác Report-to.</x:v>
      </x:c>
    </x:row>
    <x:row r="33" ht="48" customHeight="1">
      <x:c r="A33" s="16" t="str">
        <x:v>OHR23</x:v>
      </x:c>
      <x:c r="B33" s="16" t="str">
        <x:v>OHR23</x:v>
      </x:c>
      <x:c r="C33" s="16" t="str">
        <x:v>PIM</x:v>
      </x:c>
      <x:c r="D33" s="16" t="str">
        <x:v>Tìm employee (Excel)</x:v>
      </x:c>
      <x:c r="E33" s="16" t="str">
        <x:v>Kết quả phù hợp tập điều kiện name/ID/status/include/supervisor/job/subunit.</x:v>
      </x:c>
      <x:c r="F33" s="16" t="str">
        <x:v>Ý định trong test/POM; thiếu đặc tả độc lập</x:v>
      </x:c>
      <x:c r="G33" s="16" t="str">
        <x:v>Cần xác nhận</x:v>
      </x:c>
      <x:c r="H33" s="16" t="str">
        <x:v>Thiếu assert kết quả; kiểm tra helper có phản ánh đúng cột và ý nghĩa Include hay không.</x:v>
      </x:c>
    </x:row>
    <x:row r="34" ht="48" customHeight="1">
      <x:c r="A34" s="17" t="str">
        <x:v>OHR24</x:v>
      </x:c>
      <x:c r="B34" s="17" t="str">
        <x:v>OHR24</x:v>
      </x:c>
      <x:c r="C34" s="17" t="str">
        <x:v>PIM</x:v>
      </x:c>
      <x:c r="D34" s="17" t="str">
        <x:v>Xóa employee</x:v>
      </x:c>
      <x:c r="E34" s="17" t="str">
        <x:v>Employee thử được xóa và không còn trong danh sách hiện tại.</x:v>
      </x:c>
      <x:c r="F34" s="17" t="str">
        <x:v>Ý định trong test/POM; thiếu đặc tả độc lập</x:v>
      </x:c>
      <x:c r="G34" s="17" t="str">
        <x:v>Cần xác nhận</x:v>
      </x:c>
      <x:c r="H34" s="17" t="str">
        <x:v>Chốt ý nghĩa Delete so với Terminate; tìm lại bằng mã employee riêng.</x:v>
      </x:c>
    </x:row>
    <x:row r="35" ht="48" customHeight="1">
      <x:c r="A35" s="16" t="str">
        <x:v>OHR25</x:v>
      </x:c>
      <x:c r="B35" s="16" t="str">
        <x:v>OHR25</x:v>
      </x:c>
      <x:c r="C35" s="16" t="str">
        <x:v>PIM</x:v>
      </x:c>
      <x:c r="D35" s="16" t="str">
        <x:v>Terminate employee</x:v>
      </x:c>
      <x:c r="E35" s="16" t="str">
        <x:v>Employee thử chuyển sang trạng thái đã chấm dứt với thông tin hợp lệ.</x:v>
      </x:c>
      <x:c r="F35" s="16" t="str">
        <x:v>Ý định trong test/POM; thiếu đặc tả độc lập</x:v>
      </x:c>
      <x:c r="G35" s="16" t="str">
        <x:v>Cần xác nhận</x:v>
      </x:c>
      <x:c r="H35" s="16" t="str">
        <x:v>Thiếu assert kết quả; đọc lại ngày/lý do/trạng thái và đối chiếu phạm vi Current/Past.</x:v>
      </x:c>
    </x:row>
    <x:row r="36" ht="48" customHeight="1">
      <x:c r="A36" s="17" t="str">
        <x:v>OHR26</x:v>
      </x:c>
      <x:c r="B36" s="17" t="str">
        <x:v>OHR26</x:v>
      </x:c>
      <x:c r="C36" s="17" t="str">
        <x:v>Recruitment / UI</x:v>
      </x:c>
      <x:c r="D36" s="17" t="str">
        <x:v>Tạo Vacancy và attachment</x:v>
      </x:c>
      <x:c r="E36" s="17" t="str">
        <x:v>Vacancy cùng dữ liệu nhập được lưu; attachment được lưu nếu nằm trong phạm vi.</x:v>
      </x:c>
      <x:c r="F36" s="17" t="str">
        <x:v>Ý định trong test/POM; thiếu đặc tả độc lập</x:v>
      </x:c>
      <x:c r="G36" s="17" t="str">
        <x:v>Cần xác nhận</x:v>
      </x:c>
      <x:c r="H36" s="17" t="str">
        <x:v>Đọc lại Vacancy và file; chưa có assertion riêng chứng minh attachment lưu thành công.</x:v>
      </x:c>
    </x:row>
    <x:row r="37" ht="48" customHeight="1">
      <x:c r="A37" s="16" t="str">
        <x:v>OHR27</x:v>
      </x:c>
      <x:c r="B37" s="16" t="str">
        <x:v>OHR27</x:v>
      </x:c>
      <x:c r="C37" s="16" t="str">
        <x:v>Recruitment / UI</x:v>
      </x:c>
      <x:c r="D37" s="16" t="str">
        <x:v>Tìm Vacancy (Excel)</x:v>
      </x:c>
      <x:c r="E37" s="16" t="str">
        <x:v>Kết quả phù hợp job/vacancy/manager/status đã nhập.</x:v>
      </x:c>
      <x:c r="F37" s="16" t="str">
        <x:v>Ý định trong test/POM; thiếu đặc tả độc lập</x:v>
      </x:c>
      <x:c r="G37" s="16" t="str">
        <x:v>Cần xác nhận</x:v>
      </x:c>
      <x:c r="H37" s="16" t="str">
        <x:v>Thiếu assert kết quả; helper chỉ kiểm tra một dòng chứa keyword, không phải toàn bộ filter.</x:v>
      </x:c>
    </x:row>
    <x:row r="38" ht="48" customHeight="1">
      <x:c r="A38" s="17" t="str">
        <x:v>OHR28</x:v>
      </x:c>
      <x:c r="B38" s="17" t="str">
        <x:v>OHR28</x:v>
      </x:c>
      <x:c r="C38" s="17" t="str">
        <x:v>Recruitment / UI</x:v>
      </x:c>
      <x:c r="D38" s="17" t="str">
        <x:v>Xóa Vacancy</x:v>
      </x:c>
      <x:c r="E38" s="17" t="str">
        <x:v>Vacancy thử không còn sau xóa hợp lệ.</x:v>
      </x:c>
      <x:c r="F38" s="17" t="str">
        <x:v>Ý định trong test/POM; thiếu đặc tả độc lập</x:v>
      </x:c>
      <x:c r="G38" s="17" t="str">
        <x:v>Cần xác nhận</x:v>
      </x:c>
      <x:c r="H38" s="17" t="str">
        <x:v>Xác nhận điều kiện xóa khi có candidate liên quan; tìm lại sau refresh.</x:v>
      </x:c>
    </x:row>
    <x:row r="39" ht="48" customHeight="1">
      <x:c r="A39" s="16" t="str">
        <x:v>OHR29</x:v>
      </x:c>
      <x:c r="B39" s="16" t="str">
        <x:v>OHR29</x:v>
      </x:c>
      <x:c r="C39" s="16" t="str">
        <x:v>Recruitment / UI</x:v>
      </x:c>
      <x:c r="D39" s="16" t="str">
        <x:v>Tạo Candidate</x:v>
      </x:c>
      <x:c r="E39" s="16" t="str">
        <x:v>Candidate hợp lệ được lưu đúng thông tin.</x:v>
      </x:c>
      <x:c r="F39" s="16" t="str">
        <x:v>Ý định trong test/POM; thiếu đặc tả độc lập</x:v>
      </x:c>
      <x:c r="G39" s="16" t="str">
        <x:v>Cần xác nhận</x:v>
      </x:c>
      <x:c r="H39" s="16" t="str">
        <x:v>Đọc lại Candidate và các field cần bảo vệ; chốt quy tắc ngày ứng tuyển/file.</x:v>
      </x:c>
    </x:row>
    <x:row r="40" ht="48" customHeight="1">
      <x:c r="A40" s="17" t="str">
        <x:v>OHR30</x:v>
      </x:c>
      <x:c r="B40" s="17" t="str">
        <x:v>OHR30</x:v>
      </x:c>
      <x:c r="C40" s="17" t="str">
        <x:v>Recruitment / UI</x:v>
      </x:c>
      <x:c r="D40" s="17" t="str">
        <x:v>Reject Candidate</x:v>
      </x:c>
      <x:c r="E40" s="17" t="str">
        <x:v>Candidate thử chuyển sang Rejected và ghi nhận thao tác.</x:v>
      </x:c>
      <x:c r="F40" s="17" t="str">
        <x:v>Ý định trong test/POM; thiếu đặc tả độc lập</x:v>
      </x:c>
      <x:c r="G40" s="17" t="str">
        <x:v>Cần xác nhận</x:v>
      </x:c>
      <x:c r="H40" s="17" t="str">
        <x:v>Thiếu assert Rejected/history sau refresh; xác nhận trạng thái đầu cho phép Reject.</x:v>
      </x:c>
    </x:row>
    <x:row r="41" ht="48" customHeight="1">
      <x:c r="A41" s="16" t="str">
        <x:v>OHR31</x:v>
      </x:c>
      <x:c r="B41" s="16" t="str">
        <x:v>OHR31</x:v>
      </x:c>
      <x:c r="C41" s="16" t="str">
        <x:v>Recruitment / UI</x:v>
      </x:c>
      <x:c r="D41" s="16" t="str">
        <x:v>Xóa Candidate</x:v>
      </x:c>
      <x:c r="E41" s="16" t="str">
        <x:v>Candidate do setup tạo không còn sau xóa.</x:v>
      </x:c>
      <x:c r="F41" s="16" t="str">
        <x:v>Ý định trong test/POM; thiếu đặc tả độc lập</x:v>
      </x:c>
      <x:c r="G41" s="16" t="str">
        <x:v>Cần xác nhận</x:v>
      </x:c>
      <x:c r="H41" s="16" t="str">
        <x:v>Tìm lại Candidate theo marker riêng sau refresh.</x:v>
      </x:c>
    </x:row>
    <x:row r="42" ht="48" customHeight="1">
      <x:c r="A42" s="17" t="str">
        <x:v>OHR32</x:v>
      </x:c>
      <x:c r="B42" s="17" t="str">
        <x:v>OHR32</x:v>
      </x:c>
      <x:c r="C42" s="17" t="str">
        <x:v>My Info</x:v>
      </x:c>
      <x:c r="D42" s="17" t="str">
        <x:v>Lưu Personal Details</x:v>
      </x:c>
      <x:c r="E42" s="17" t="str">
        <x:v>Thông tin cá nhân được lưu đúng input.</x:v>
      </x:c>
      <x:c r="F42" s="17" t="str">
        <x:v>Ý định trong test/POM; thiếu đặc tả độc lập</x:v>
      </x:c>
      <x:c r="G42" s="17" t="str">
        <x:v>Cần xác nhận</x:v>
      </x:c>
      <x:c r="H42" s="17" t="str">
        <x:v>Đọc lại các field sau refresh; ghi rõ dữ liệu nào cần khôi phục.</x:v>
      </x:c>
    </x:row>
    <x:row r="43" ht="48" customHeight="1">
      <x:c r="A43" s="16" t="str">
        <x:v>OHR33</x:v>
      </x:c>
      <x:c r="B43" s="16" t="str">
        <x:v>OHR33</x:v>
      </x:c>
      <x:c r="C43" s="16" t="str">
        <x:v>My Info</x:v>
      </x:c>
      <x:c r="D43" s="16" t="str">
        <x:v>Lưu Contact Details</x:v>
      </x:c>
      <x:c r="E43" s="16" t="str">
        <x:v>Thông tin liên hệ được lưu đúng input.</x:v>
      </x:c>
      <x:c r="F43" s="16" t="str">
        <x:v>Ý định trong test/POM; thiếu đặc tả độc lập</x:v>
      </x:c>
      <x:c r="G43" s="16" t="str">
        <x:v>Cần xác nhận</x:v>
      </x:c>
      <x:c r="H43" s="16" t="str">
        <x:v>Đọc lại field sau refresh; chốt quy tắc định dạng và khôi phục dữ liệu.</x:v>
      </x:c>
    </x:row>
    <x:row r="44" ht="48" customHeight="1">
      <x:c r="A44" s="17" t="str">
        <x:v>OHR34</x:v>
      </x:c>
      <x:c r="B44" s="17" t="str">
        <x:v>OHR34</x:v>
      </x:c>
      <x:c r="C44" s="17" t="str">
        <x:v>My Info</x:v>
      </x:c>
      <x:c r="D44" s="17" t="str">
        <x:v>Thêm Emergency Contact</x:v>
      </x:c>
      <x:c r="E44" s="17" t="str">
        <x:v>Emergency Contact mới được lưu đúng tên/quan hệ/điện thoại.</x:v>
      </x:c>
      <x:c r="F44" s="17" t="str">
        <x:v>Ý định trong test/POM; thiếu đặc tả độc lập</x:v>
      </x:c>
      <x:c r="G44" s="17" t="str">
        <x:v>Cần xác nhận</x:v>
      </x:c>
      <x:c r="H44" s="17" t="str">
        <x:v>Tìm dòng vừa thêm và đối chiếu các field sau refresh.</x:v>
      </x:c>
    </x:row>
    <x:row r="45" ht="48" customHeight="1">
      <x:c r="A45" s="16" t="str">
        <x:v>OHR35</x:v>
      </x:c>
      <x:c r="B45" s="16" t="str">
        <x:v>OHR35</x:v>
      </x:c>
      <x:c r="C45" s="16" t="str">
        <x:v>My Info</x:v>
      </x:c>
      <x:c r="D45" s="16" t="str">
        <x:v>Xóa Emergency Contact</x:v>
      </x:c>
      <x:c r="E45" s="16" t="str">
        <x:v>Contact thử không còn sau xác nhận xóa.</x:v>
      </x:c>
      <x:c r="F45" s="16" t="str">
        <x:v>Ý định trong test/POM; thiếu đặc tả độc lập</x:v>
      </x:c>
      <x:c r="G45" s="16" t="str">
        <x:v>Cần xác nhận</x:v>
      </x:c>
      <x:c r="H45" s="16" t="str">
        <x:v>Thiếu assert kết quả; tìm đúng marker và kiểm tra không còn sau refresh.</x:v>
      </x:c>
    </x:row>
    <x:row r="46" ht="48" customHeight="1">
      <x:c r="A46" s="17" t="str">
        <x:v>OHR36</x:v>
      </x:c>
      <x:c r="B46" s="17" t="str">
        <x:v>OHR36</x:v>
      </x:c>
      <x:c r="C46" s="17" t="str">
        <x:v>My Info</x:v>
      </x:c>
      <x:c r="D46" s="17" t="str">
        <x:v>Thêm Dependent</x:v>
      </x:c>
      <x:c r="E46" s="17" t="str">
        <x:v>Dependent được lưu đúng tên/quan hệ/ngày sinh.</x:v>
      </x:c>
      <x:c r="F46" s="17" t="str">
        <x:v>Ý định trong test/POM; thiếu đặc tả độc lập</x:v>
      </x:c>
      <x:c r="G46" s="17" t="str">
        <x:v>Cần xác nhận</x:v>
      </x:c>
      <x:c r="H46" s="17" t="str">
        <x:v>Đọc lại dòng đúng marker và các field sau refresh.</x:v>
      </x:c>
    </x:row>
    <x:row r="47" ht="48" customHeight="1">
      <x:c r="A47" s="16" t="str">
        <x:v>OHR37</x:v>
      </x:c>
      <x:c r="B47" s="16" t="str">
        <x:v>OHR37</x:v>
      </x:c>
      <x:c r="C47" s="16" t="str">
        <x:v>My Info</x:v>
      </x:c>
      <x:c r="D47" s="16" t="str">
        <x:v>Xóa Dependent</x:v>
      </x:c>
      <x:c r="E47" s="16" t="str">
        <x:v>Dependent thử không còn sau xác nhận xóa.</x:v>
      </x:c>
      <x:c r="F47" s="16" t="str">
        <x:v>Ý định trong test/POM; thiếu đặc tả độc lập</x:v>
      </x:c>
      <x:c r="G47" s="16" t="str">
        <x:v>Cần xác nhận</x:v>
      </x:c>
      <x:c r="H47" s="16" t="str">
        <x:v>Thiếu assert kết quả; rà lại nhãn tab số ít/số nhiều và tìm lại sau refresh.</x:v>
      </x:c>
    </x:row>
    <x:row r="48" ht="48" customHeight="1">
      <x:c r="A48" s="17" t="str">
        <x:v>OHR38</x:v>
      </x:c>
      <x:c r="B48" s="17" t="str">
        <x:v>OHR38</x:v>
      </x:c>
      <x:c r="C48" s="17" t="str">
        <x:v>Performance</x:v>
      </x:c>
      <x:c r="D48" s="17" t="str">
        <x:v>Tạo và Activate Review</x:v>
      </x:c>
      <x:c r="E48" s="17" t="str">
        <x:v>Review của employee/period được tạo và chuyển đúng trạng thái sau Activate.</x:v>
      </x:c>
      <x:c r="F48" s="17" t="str">
        <x:v>Ý định trong test/POM; thiếu đặc tả độc lập</x:v>
      </x:c>
      <x:c r="G48" s="17" t="str">
        <x:v>Cần xác nhận</x:v>
      </x:c>
      <x:c r="H48" s="17" t="str">
        <x:v>Xác nhận nhãn trạng thái thực tế. Hiện Activate là expected trong code, chưa là trạng thái nghiệp vụ đã xác nhận.</x:v>
      </x:c>
    </x:row>
    <x:row r="49" ht="48" customHeight="1">
      <x:c r="A49" s="16" t="str">
        <x:v>OHR39</x:v>
      </x:c>
      <x:c r="B49" s="16" t="str">
        <x:v>OHR39</x:v>
      </x:c>
      <x:c r="C49" s="16" t="str">
        <x:v>Performance</x:v>
      </x:c>
      <x:c r="D49" s="16" t="str">
        <x:v>Complete Review</x:v>
      </x:c>
      <x:c r="E49" s="16" t="str">
        <x:v>Review đúng employee/period được Complete và lưu đánh giá.</x:v>
      </x:c>
      <x:c r="F49" s="16" t="str">
        <x:v>Ý định trong test/POM; thiếu đặc tả độc lập</x:v>
      </x:c>
      <x:c r="G49" s="16" t="str">
        <x:v>Cần xác nhận</x:v>
      </x:c>
      <x:c r="H49" s="16" t="str">
        <x:v>Helper bỏ qua key nên tên/status vẫn cùng được tìm trong một dòng. Chưa kiểm tra điểm/comment/period và persistence.</x:v>
      </x:c>
    </x:row>
    <x:row r="50" ht="48" customHeight="1">
      <x:c r="A50" s="17" t="str">
        <x:v>OHR40</x:v>
      </x:c>
      <x:c r="B50" s="17" t="str">
        <x:v>OHR40</x:v>
      </x:c>
      <x:c r="C50" s="17" t="str">
        <x:v>Performance</x:v>
      </x:c>
      <x:c r="D50" s="17" t="str">
        <x:v>Xóa Review</x:v>
      </x:c>
      <x:c r="E50" s="17" t="str">
        <x:v>Review thử của đúng employee/period không còn sau xóa hợp lệ.</x:v>
      </x:c>
      <x:c r="F50" s="17" t="str">
        <x:v>Ý định trong test/POM; thiếu đặc tả độc lập</x:v>
      </x:c>
      <x:c r="G50" s="17" t="str">
        <x:v>Cần xác nhận</x:v>
      </x:c>
      <x:c r="H50" s="17" t="str">
        <x:v>Thiếu assert kết quả; period đơn lẻ có thể trùng nhiều review, cần định danh đúng đối tượng.</x:v>
      </x:c>
    </x:row>
    <x:row r="51" ht="48" customHeight="1">
      <x:c r="A51" s="16" t="str">
        <x:v>OHR41</x:v>
      </x:c>
      <x:c r="B51" s="16" t="str">
        <x:v>OHR41</x:v>
      </x:c>
      <x:c r="C51" s="16" t="str">
        <x:v>PIM / Regression</x:v>
      </x:c>
      <x:c r="D51" s="16" t="str">
        <x:v>Chọn Past bằng TAB so với ENTER</x:v>
      </x:c>
      <x:c r="E51" s="16" t="str">
        <x:v>Sau Search, nhãn vẫn Past; số kết quả TAB bằng đối chứng ENTER với cùng filter.</x:v>
      </x:c>
      <x:c r="F51" s="16" t="str">
        <x:v>Báo cáo issue + bằng chứng nội bộ lịch sử</x:v>
      </x:c>
      <x:c r="G51" s="16" t="str">
        <x:v>Đã đối chiếu</x:v>
      </x:c>
      <x:c r="H51" s="16" t="str">
        <x:v>Đã đọc issue gốc 5.7; test local là 5.9. Count bằng nhau chưa chứng minh hai tập ID hoàn toàn bằng nhau.</x:v>
      </x:c>
    </x:row>
    <x:row r="52" ht="50.25" customHeight="1">
      <x:c r="A52" s="17" t="str">
        <x:v>OHR42</x:v>
      </x:c>
      <x:c r="B52" s="17" t="str">
        <x:v>OHR42</x:v>
      </x:c>
      <x:c r="C52" s="17" t="str">
        <x:v>My Info / Regression</x:v>
      </x:c>
      <x:c r="D52" s="17" t="str">
        <x:v>Xóa Education đã tồn tại</x:v>
      </x:c>
      <x:c r="E52" s="17" t="str">
        <x:v>Education riêng vừa tạo không còn sau Delete và refresh.</x:v>
      </x:c>
      <x:c r="F52" s="17" t="str">
        <x:v>Báo cáo issue + bằng chứng nội bộ lịch sử</x:v>
      </x:c>
      <x:c r="G52" s="17" t="str">
        <x:v>Đã đối chiếu</x:v>
      </x:c>
      <x:c r="H52" s="17" t="str">
        <x:v>Đã đọc expected trong issue gốc 5.8. Nếu xóa thất bại có thể còn dữ liệu thử; không gọi đây là security vulnerability.</x:v>
      </x:c>
    </x:row>
    <x:row r="53" ht="48" customHeight="1">
      <x:c r="A53" s="16" t="str">
        <x:v>OHR43</x:v>
      </x:c>
      <x:c r="B53" s="16" t="str">
        <x:v>OHR43</x:v>
      </x:c>
      <x:c r="C53" s="16" t="str">
        <x:v>Admin / Regression</x:v>
      </x:c>
      <x:c r="D53" s="16" t="str">
        <x:v>Sửa Pay Grade A, giữ nguyên B</x:v>
      </x:c>
      <x:c r="E53" s="16" t="str">
        <x:v>Khoảng lương A đổi đúng input; dữ liệu currency của B giữ nguyên baseline.</x:v>
      </x:c>
      <x:c r="F53" s="16" t="str">
        <x:v>Báo cáo issue + bằng chứng nội bộ lịch sử</x:v>
      </x:c>
      <x:c r="G53" s="16" t="str">
        <x:v>Đã đối chiếu</x:v>
      </x:c>
      <x:c r="H53" s="16" t="str">
        <x:v>Nguồn issue và kết quả local được dẫn trong docs; chưa mở lại source ứng dụng. Chỉ suy rộng trong currency đã thử.</x:v>
      </x:c>
    </x:row>
    <x:row r="54" ht="48" customHeight="1">
      <x:c r="A54" s="17" t="str">
        <x:v>OHR44</x:v>
      </x:c>
      <x:c r="B54" s="17" t="str">
        <x:v>OHR44</x:v>
      </x:c>
      <x:c r="C54" s="17" t="str">
        <x:v>Profile / Regression</x:v>
      </x:c>
      <x:c r="D54" s="17" t="str">
        <x:v>Click lại avatar</x:v>
      </x:c>
      <x:c r="E54" s="17" t="str">
        <x:v>Menu đang mở phải đóng sau click avatar lần hai theo expected của issue.</x:v>
      </x:c>
      <x:c r="F54" s="17" t="str">
        <x:v>Báo cáo issue + bằng chứng nội bộ lịch sử</x:v>
      </x:c>
      <x:c r="G54" s="17" t="str">
        <x:v>Đã đối chiếu</x:v>
      </x:c>
      <x:c r="H54" s="17" t="str">
        <x:v>Đây là expected từ báo cáo UI/UX, cần xác nhận quy ước toggle nếu dùng làm yêu cầu sản phẩm chính thức.</x:v>
      </x:c>
    </x:row>
    <x:row r="55" ht="50.25" customHeight="1">
      <x:c r="A55" s="16" t="str">
        <x:v>OHR45</x:v>
      </x:c>
      <x:c r="B55" s="16" t="str">
        <x:v>OHR45</x:v>
      </x:c>
      <x:c r="C55" s="16" t="str">
        <x:v>Profile / Control</x:v>
      </x:c>
      <x:c r="D55" s="16" t="str">
        <x:v>Click ra ngoài menu</x:v>
      </x:c>
      <x:c r="E55" s="16" t="str">
        <x:v>Menu đang mở đóng khi click tiêu đề bên ngoài.</x:v>
      </x:c>
      <x:c r="F55" s="16" t="str">
        <x:v>Báo cáo issue + bằng chứng nội bộ lịch sử</x:v>
      </x:c>
      <x:c r="G55" s="16" t="str">
        <x:v>Đã đối chiếu</x:v>
      </x:c>
      <x:c r="H55" s="16" t="str">
        <x:v>Đối chứng đã ghi nhận trong docs. PASS chỉ xác nhận hành vi đóng khi click ngoài, không chứng minh toggle avatar đúng.</x:v>
      </x:c>
    </x:row>
    <x:row r="56" ht="48" customHeight="1">
      <x:c r="A56" s="17" t="str">
        <x:v>OHR46</x:v>
      </x:c>
      <x:c r="B56" s="17" t="str">
        <x:v>OHR46</x:v>
      </x:c>
      <x:c r="C56" s="17" t="str">
        <x:v>Recruitment / Regression</x:v>
      </x:c>
      <x:c r="D56" s="17" t="str">
        <x:v>Shortlist Candidate (3 vacancy local)</x:v>
      </x:c>
      <x:c r="E56" s="17" t="str">
        <x:v>Candidate chuyển Shortlisted, giữ trạng thái sau refresh và có history Shortlisted.</x:v>
      </x:c>
      <x:c r="F56" s="17" t="str">
        <x:v>Báo cáo issue + bằng chứng nội bộ lịch sử</x:v>
      </x:c>
      <x:c r="G56" s="17" t="str">
        <x:v>Đã đối chiếu</x:v>
      </x:c>
      <x:c r="H56" s="17" t="str">
        <x:v>Đã đọc expected issue gốc. Ba vacancy local khác hai vacancy trong báo cáo gốc; chưa kết luận issue gốc đã sửa.</x:v>
      </x:c>
    </x:row>
    <x:row r="57" ht="48" customHeight="1">
      <x:c r="A57" s="16" t="str">
        <x:v>OHR47</x:v>
      </x:c>
      <x:c r="B57" s="16" t="str">
        <x:v>OHR47</x:v>
      </x:c>
      <x:c r="C57" s="16" t="str">
        <x:v>Time / Control</x:v>
      </x:c>
      <x:c r="D57" s="16" t="str">
        <x:v>Lưu một dòng giờ hợp lệ</x:v>
      </x:c>
      <x:c r="E57" s="16" t="str">
        <x:v>Giờ ngày đầu của Activity A bằng input cấu hình sau Save và reload.</x:v>
      </x:c>
      <x:c r="F57" s="16" t="str">
        <x:v>Báo cáo issue + bằng chứng nội bộ lịch sử</x:v>
      </x:c>
      <x:c r="G57" s="16" t="str">
        <x:v>Đã đối chiếu</x:v>
      </x:c>
      <x:c r="H57" s="16" t="str">
        <x:v>Đối chứng cho scenario dòng trống. Fixture chỉ được dùng khi đúng tuần và trạng thái cho phép chỉnh sửa.</x:v>
      </x:c>
    </x:row>
    <x:row r="58" ht="48" customHeight="1">
      <x:c r="A58" s="17" t="str">
        <x:v>OHR48</x:v>
      </x:c>
      <x:c r="B58" s="17" t="str">
        <x:v>OHR48</x:v>
      </x:c>
      <x:c r="C58" s="17" t="str">
        <x:v>Time / Regression</x:v>
      </x:c>
      <x:c r="D58" s="17" t="str">
        <x:v>Lưu A có giờ, B có giờ trống</x:v>
      </x:c>
      <x:c r="E58" s="17" t="str">
        <x:v>Dòng B có bảy ô giờ chưa nhập không làm mất giờ hợp lệ của A.</x:v>
      </x:c>
      <x:c r="F58" s="17" t="str">
        <x:v>Báo cáo issue + bằng chứng nội bộ lịch sử</x:v>
      </x:c>
      <x:c r="G58" s="17" t="str">
        <x:v>Đã đối chiếu</x:v>
      </x:c>
      <x:c r="H58" s="17" t="str">
        <x:v>Kết quả lịch sử tái hiện mất giờ. Không suy ra tổng giờ/các ngày khác đã đúng vì test chỉ assert ngày đầu của A.</x:v>
      </x:c>
    </x:row>
    <x:row r="59" ht="48" customHeight="1">
      <x:c r="A59" s="16" t="str">
        <x:v>OHR49</x:v>
      </x:c>
      <x:c r="B59" s="16" t="str">
        <x:v>OHR49</x:v>
      </x:c>
      <x:c r="C59" s="16" t="str">
        <x:v>Time / Regression</x:v>
      </x:c>
      <x:c r="D59" s="16" t="str">
        <x:v>Monday trong lịch Attendance</x:v>
      </x:c>
      <x:c r="E59" s="16" t="str">
        <x:v>Theo giả định từ issue: Timesheet bắt đầu Monday thì lịch Attendance cũng bắt đầu Monday.</x:v>
      </x:c>
      <x:c r="F59" s="16" t="str">
        <x:v>Báo cáo issue + bằng chứng nội bộ lịch sử</x:v>
      </x:c>
      <x:c r="G59" s="16" t="str">
        <x:v>Cần xác nhận</x:v>
      </x:c>
      <x:c r="H59" s="16" t="str">
        <x:v>Cần xác nhận cấu hình Timesheet có áp dụng cho Attendance date picker không. FAIL hiện tại chưa đủ chứng minh bug.</x:v>
      </x:c>
    </x:row>
    <x:row r="60" ht="48" customHeight="1">
      <x:c r="A60" s="17" t="str">
        <x:v>OHR50</x:v>
      </x:c>
      <x:c r="B60" s="17" t="str">
        <x:v>OHR50</x:v>
      </x:c>
      <x:c r="C60" s="17" t="str">
        <x:v>Claim / Regression</x:v>
      </x:c>
      <x:c r="D60" s="17" t="str">
        <x:v>Lưu attachment PDF</x:v>
      </x:c>
      <x:c r="E60" s="17" t="str">
        <x:v>PDF thử được lưu; sau refresh có đúng tên file/comment và một attachment.</x:v>
      </x:c>
      <x:c r="F60" s="17" t="str">
        <x:v>Báo cáo issue + bằng chứng nội bộ lịch sử</x:v>
      </x:c>
      <x:c r="G60" s="17" t="str">
        <x:v>Đã đối chiếu</x:v>
      </x:c>
      <x:c r="H60" s="17" t="str">
        <x:v>Chỉ một PDF đã thử; chưa kiểm tra byte/hash khi tải lại và không kết luận mọi định dạng đều an toàn.</x:v>
      </x:c>
    </x:row>
    <x:row r="61" ht="48" customHeight="1">
      <x:c r="A61" s="16" t="str">
        <x:v>OHR51</x:v>
      </x:c>
      <x:c r="B61" s="16" t="str">
        <x:v>OHR51</x:v>
      </x:c>
      <x:c r="C61" s="16" t="str">
        <x:v>Security / Authentication</x:v>
      </x:c>
      <x:c r="D61" s="16" t="str">
        <x:v>Token hợp lệ</x:v>
      </x:c>
      <x:c r="E61" s="16" t="str">
        <x:v>GET employee được phép trả 200 và đúng dữ liệu employee yêu cầu.</x:v>
      </x:c>
      <x:c r="F61" s="16" t="str">
        <x:v>Tài liệu API OAuth2 + đối chứng dữ liệu cần có</x:v>
      </x:c>
      <x:c r="G61" s="16" t="str">
        <x:v>Đã đối chiếu</x:v>
      </x:c>
      <x:c r="H61" s="16" t="str">
        <x:v>Nguồn xác nhận GET hợp lệ trả 200. Code chưa chứng minh body đúng employee; ID hiện cố định.</x:v>
      </x:c>
    </x:row>
    <x:row r="62" ht="48" customHeight="1">
      <x:c r="A62" s="17" t="str">
        <x:v>OHR52</x:v>
      </x:c>
      <x:c r="B62" s="17" t="str">
        <x:v>OHR52</x:v>
      </x:c>
      <x:c r="C62" s="17" t="str">
        <x:v>Security / Authentication</x:v>
      </x:c>
      <x:c r="D62" s="17" t="str">
        <x:v>Không có token</x:v>
      </x:c>
      <x:c r="E62" s="17" t="str">
        <x:v>Request bị từ chối, không lộ employee. Code đang cho phép 401/403/302.</x:v>
      </x:c>
      <x:c r="F62" s="17" t="str">
        <x:v>Mục tiêu bảo mật; hợp đồng status chưa chốt</x:v>
      </x:c>
      <x:c r="G62" s="17" t="str">
        <x:v>Cần xác nhận</x:v>
      </x:c>
      <x:c r="H62" s="17" t="str">
        <x:v>Xác nhận API phải trả JSON 401/403 hay cho phép redirect. Bổ sung kiểm tra body và Location nếu chấp nhận 302.</x:v>
      </x:c>
    </x:row>
    <x:row r="63" ht="48" customHeight="1">
      <x:c r="A63" s="16" t="str">
        <x:v>OHR53</x:v>
      </x:c>
      <x:c r="B63" s="16" t="str">
        <x:v>OHR53</x:v>
      </x:c>
      <x:c r="C63" s="16" t="str">
        <x:v>Security / Authentication</x:v>
      </x:c>
      <x:c r="D63" s="16" t="str">
        <x:v>Token không hợp lệ</x:v>
      </x:c>
      <x:c r="E63" s="16" t="str">
        <x:v>Request bị từ chối, không lộ employee. Code đang cho phép 401/403/302.</x:v>
      </x:c>
      <x:c r="F63" s="16" t="str">
        <x:v>Mục tiêu bảo mật; hợp đồng status chưa chốt</x:v>
      </x:c>
      <x:c r="G63" s="16" t="str">
        <x:v>Cần xác nhận</x:v>
      </x:c>
      <x:c r="H63" s="16" t="str">
        <x:v>Chốt cách API phản hồi token sai; hiện chưa kiểm tra body không chứa protected data.</x:v>
      </x:c>
    </x:row>
    <x:row r="64" ht="48" customHeight="1">
      <x:c r="A64" s="17" t="str">
        <x:v>OHR54</x:v>
      </x:c>
      <x:c r="B64" s="17" t="str">
        <x:v>AUTHZ_01</x:v>
      </x:c>
      <x:c r="C64" s="17" t="str">
        <x:v>Security / Authorization</x:v>
      </x:c>
      <x:c r="D64" s="17" t="str">
        <x:v>Admin đọc users</x:v>
      </x:c>
      <x:c r="E64" s="17" t="str">
        <x:v>Admin GET /api/v2/admin/users trả 200, JSON có danh sách không rỗng.</x:v>
      </x:c>
      <x:c r="F64" s="17" t="str">
        <x:v>Đối chứng quyền trong phạm vi đồ án + baseline lịch sử</x:v>
      </x:c>
      <x:c r="G64" s="17" t="str">
        <x:v>Đã đối chiếu</x:v>
      </x:c>
      <x:c r="H64" s="17" t="str">
        <x:v>Không kiểm tra schema từng user; xác nhận role của tài khoản theo môi trường khi chạy lại.</x:v>
      </x:c>
    </x:row>
    <x:row r="65" ht="50.25" customHeight="1">
      <x:c r="A65" s="16" t="str">
        <x:v>OHR54</x:v>
      </x:c>
      <x:c r="B65" s="16" t="str">
        <x:v>AUTHZ_02</x:v>
      </x:c>
      <x:c r="C65" s="16" t="str">
        <x:v>Security / Authorization</x:v>
      </x:c>
      <x:c r="D65" s="16" t="str">
        <x:v>ESS gọi API Admin</x:v>
      </x:c>
      <x:c r="E65" s="16" t="str">
        <x:v>ESS hợp lệ GET /api/v2/admin/users nhận 403 và không có data users.</x:v>
      </x:c>
      <x:c r="F65" s="16" t="str">
        <x:v>Quy tắc trong docs/Excel khác mức ràng buộc Java</x:v>
      </x:c>
      <x:c r="G65" s="16" t="str">
        <x:v>Có mâu thuẫn</x:v>
      </x:c>
      <x:c r="H65" s="16" t="str">
        <x:v>Docs nói sửa Excel không thể làm status khác 403 PASS; code hiện tin danh sách status Excel. Cần thống nhất tài liệu và tiêu chí.</x:v>
      </x:c>
    </x:row>
    <x:row r="66" ht="50.25" customHeight="1">
      <x:c r="A66" s="17" t="str">
        <x:v>OHR54</x:v>
      </x:c>
      <x:c r="B66" s="17" t="str">
        <x:v>AUTHZ_03</x:v>
      </x:c>
      <x:c r="C66" s="17" t="str">
        <x:v>Security / Authorization</x:v>
      </x:c>
      <x:c r="D66" s="17" t="str">
        <x:v>ESS đổi sang ID người khác</x:v>
      </x:c>
      <x:c r="E66" s="17" t="str">
        <x:v>ESS không có quan hệ cho phép đọc ContactDetails đích nhận 403 hoặc 422 đúng empNumber; không có data.</x:v>
      </x:c>
      <x:c r="F66" s="17" t="str">
        <x:v>Quy tắc role/quan hệ + hành vi validation local đã ghi nhận</x:v>
      </x:c>
      <x:c r="G66" s="17" t="str">
        <x:v>Đã đối chiếu</x:v>
      </x:c>
      <x:c r="H66" s="17" t="str">
        <x:v>Chỉ áp dụng ESS không có quyền với target đã xác nhận. Source validation v5.9 được mô tả trong docs, chưa đọc lại hôm nay.</x:v>
      </x:c>
    </x:row>
    <x:row r="67" ht="50.25" customHeight="1">
      <x:c r="A67" s="16" t="str">
        <x:v>OHR55</x:v>
      </x:c>
      <x:c r="B67" s="16" t="str">
        <x:v>INJ_01</x:v>
      </x:c>
      <x:c r="C67" s="16" t="str">
        <x:v>Security / Injection</x:v>
      </x:c>
      <x:c r="D67" s="16" t="str">
        <x:v>Filter username với '</x:v>
      </x:c>
      <x:c r="E67" s="16" t="str">
        <x:v>Input không làm lộ SQL/stack trace hoặc bypass filter. Theo docs: 200 phải khớp nguyên username; 400/422 phải là validation, không data.</x:v>
      </x:c>
      <x:c r="F67" s="16" t="str">
        <x:v>Docs mô tả chặt hơn assertion hiện có</x:v>
      </x:c>
      <x:c r="G67" s="16" t="str">
        <x:v>Có mâu thuẫn</x:v>
      </x:c>
      <x:c r="H67" s="16" t="str">
        <x:v>Docs nói so khớp toàn bộ username, có no-match baseline/meta.total; code chỉ contains và không có baseline đó. Chốt lại oracle trước khi sửa assertion.</x:v>
      </x:c>
    </x:row>
    <x:row r="68" ht="50.25" customHeight="1">
      <x:c r="A68" s="17" t="str">
        <x:v>OHR55</x:v>
      </x:c>
      <x:c r="B68" s="17" t="str">
        <x:v>INJ_02</x:v>
      </x:c>
      <x:c r="C68" s="17" t="str">
        <x:v>Security / Injection</x:v>
      </x:c>
      <x:c r="D68" s="17" t="str">
        <x:v>Filter username với ' OR '1'='1</x:v>
      </x:c>
      <x:c r="E68" s="17" t="str">
        <x:v>Input không làm lộ SQL/stack trace hoặc bypass filter. Theo docs: 200 phải khớp nguyên username; 400/422 phải là validation, không data.</x:v>
      </x:c>
      <x:c r="F68" s="17" t="str">
        <x:v>Docs mô tả chặt hơn assertion hiện có</x:v>
      </x:c>
      <x:c r="G68" s="17" t="str">
        <x:v>Có mâu thuẫn</x:v>
      </x:c>
      <x:c r="H68" s="17" t="str">
        <x:v>Docs nói so khớp toàn bộ username, có no-match baseline/meta.total; code chỉ contains và không có baseline đó. Chốt lại oracle trước khi sửa assertion.</x:v>
      </x:c>
    </x:row>
    <x:row r="69" ht="50.25" customHeight="1">
      <x:c r="A69" s="16" t="str">
        <x:v>OHR55</x:v>
      </x:c>
      <x:c r="B69" s="16" t="str">
        <x:v>INJ_03</x:v>
      </x:c>
      <x:c r="C69" s="16" t="str">
        <x:v>Security / Injection</x:v>
      </x:c>
      <x:c r="D69" s="16" t="str">
        <x:v>Filter username với " OR "1"="1</x:v>
      </x:c>
      <x:c r="E69" s="16" t="str">
        <x:v>Input không làm lộ SQL/stack trace hoặc bypass filter. Theo docs: 200 phải khớp nguyên username; 400/422 phải là validation, không data.</x:v>
      </x:c>
      <x:c r="F69" s="16" t="str">
        <x:v>Docs mô tả chặt hơn assertion hiện có</x:v>
      </x:c>
      <x:c r="G69" s="16" t="str">
        <x:v>Có mâu thuẫn</x:v>
      </x:c>
      <x:c r="H69" s="16" t="str">
        <x:v>Docs nói so khớp toàn bộ username, có no-match baseline/meta.total; code chỉ contains và không có baseline đó. Chốt lại oracle trước khi sửa assertion.</x:v>
      </x:c>
    </x:row>
    <x:row r="70" ht="48" customHeight="1">
      <x:c r="A70" s="17" t="str">
        <x:v>OHR56</x:v>
      </x:c>
      <x:c r="B70" s="17" t="str">
        <x:v>API_01</x:v>
      </x:c>
      <x:c r="C70" s="17" t="str">
        <x:v>PIM / API</x:v>
      </x:c>
      <x:c r="D70" s="17" t="str">
        <x:v>GET employee list</x:v>
      </x:c>
      <x:c r="E70" s="17" t="str">
        <x:v>GET /api/v2/pim/employees?model=default trả 200, data list hợp lệ với fixture có employee.</x:v>
      </x:c>
      <x:c r="F70" s="17" t="str">
        <x:v>Tài liệu API + dữ liệu đối chứng từ setup</x:v>
      </x:c>
      <x:c r="G70" s="17" t="str">
        <x:v>Đã đối chiếu</x:v>
      </x:c>
      <x:c r="H70" s="17" t="str">
        <x:v>Không rỗng là tiền điều kiện dataset, không phải quy tắc mọi database. Chưa kiểm tra schema mọi record.</x:v>
      </x:c>
    </x:row>
    <x:row r="71" ht="48" customHeight="1">
      <x:c r="A71" s="16" t="str">
        <x:v>OHR57</x:v>
      </x:c>
      <x:c r="B71" s="16" t="str">
        <x:v>API_02</x:v>
      </x:c>
      <x:c r="C71" s="16" t="str">
        <x:v>PIM / API</x:v>
      </x:c>
      <x:c r="D71" s="16" t="str">
        <x:v>GET employee detail</x:v>
      </x:c>
      <x:c r="E71" s="16" t="str">
        <x:v>GET detail trả 200 và đúng ID/tên của employee chọn từ list.</x:v>
      </x:c>
      <x:c r="F71" s="16" t="str">
        <x:v>Tài liệu API + so sánh list/detail</x:v>
      </x:c>
      <x:c r="G71" s="16" t="str">
        <x:v>Đã đối chiếu</x:v>
      </x:c>
      <x:c r="H71" s="16" t="str">
        <x:v>Baseline list có thể cùng chứa lỗi với detail; PASS chứng minh tính nhất quán các field đã so.</x:v>
      </x:c>
    </x:row>
    <x:row r="72" ht="50.25" customHeight="1">
      <x:c r="A72" s="17" t="str">
        <x:v>OHR58</x:v>
      </x:c>
      <x:c r="B72" s="17" t="str">
        <x:v>API_03</x:v>
      </x:c>
      <x:c r="C72" s="17" t="str">
        <x:v>PIM / API</x:v>
      </x:c>
      <x:c r="D72" s="17" t="str">
        <x:v>Filter employee bằng tên thật</x:v>
      </x:c>
      <x:c r="E72" s="17" t="str">
        <x:v>GET list với name thật trả 200, chứa employee đối chứng và các tên khớp input.</x:v>
      </x:c>
      <x:c r="F72" s="17" t="str">
        <x:v>Tài liệu query name + baseline dữ liệu thật</x:v>
      </x:c>
      <x:c r="G72" s="17" t="str">
        <x:v>Đã đối chiếu</x:v>
      </x:c>
      <x:c r="H72" s="17" t="str">
        <x:v>Trang API không mô tả chi tiết contains/case. Cần chốt nếu dùng để kiểm chứng quy tắc tìm kiếm sâu hơn; có giới hạn phân trang.</x:v>
      </x:c>
    </x:row>
    <x:row r="73" ht="50.25" customHeight="1">
      <x:c r="A73" s="16" t="str">
        <x:v>OHR59</x:v>
      </x:c>
      <x:c r="B73" s="16" t="str">
        <x:v>API_04</x:v>
      </x:c>
      <x:c r="C73" s="16" t="str">
        <x:v>PIM / API</x:v>
      </x:c>
      <x:c r="D73" s="16" t="str">
        <x:v>GET employee không tồn tại</x:v>
      </x:c>
      <x:c r="E73" s="16" t="str">
        <x:v>Theo docs GET detail: 404, Record Not Found, không data. Local lịch sử trả 422 Invalid Parameter/empNumber.</x:v>
      </x:c>
      <x:c r="F73" s="16" t="str">
        <x:v>API docs 404 khác behavior local 422</x:v>
      </x:c>
      <x:c r="G73" s="16" t="str">
        <x:v>Có mâu thuẫn</x:v>
      </x:c>
      <x:c r="H73" s="16" t="str">
        <x:v>Chốt hợp đồng đúng phiên bản/loại ID; max accessible không bảo đảm không tồn tại toàn hệ thống với role hạn chế. Không đổi expected chỉ để PASS.</x:v>
      </x:c>
    </x:row>
    <x:row r="74" ht="48" customHeight="1">
      <x:c r="A74" s="17" t="str">
        <x:v>OHR60</x:v>
      </x:c>
      <x:c r="B74" s="17" t="str">
        <x:v>API_05</x:v>
      </x:c>
      <x:c r="C74" s="17" t="str">
        <x:v>PIM / API</x:v>
      </x:c>
      <x:c r="D74" s="17" t="str">
        <x:v>POST tạo employee</x:v>
      </x:c>
      <x:c r="E74" s="17" t="str">
        <x:v>POST employee hợp lệ trả 200; GET lại đúng employeeId/tên và ID mới.</x:v>
      </x:c>
      <x:c r="F74" s="17" t="str">
        <x:v>Tài liệu POST/GET + kiểm tra ghi rồi đọc</x:v>
      </x:c>
      <x:c r="G74" s="17" t="str">
        <x:v>Đã đối chiếu</x:v>
      </x:c>
      <x:c r="H74" s="17" t="str">
        <x:v>Chỉ xác nhận field đang assert; chưa kiểm tra đầy đủ middleName hoặc quy tắc khác.</x:v>
      </x:c>
    </x:row>
    <x:row r="75" ht="48" customHeight="1">
      <x:c r="A75" s="16" t="str">
        <x:v>OHR61</x:v>
      </x:c>
      <x:c r="B75" s="16" t="str">
        <x:v>API_06</x:v>
      </x:c>
      <x:c r="C75" s="16" t="str">
        <x:v>PIM / API</x:v>
      </x:c>
      <x:c r="D75" s="16" t="str">
        <x:v>PUT đổi firstName</x:v>
      </x:c>
      <x:c r="E75" s="16" t="str">
        <x:v>PUT personal-details employee riêng trả 200; GET lại tên mới, ID và lastName giữ đúng.</x:v>
      </x:c>
      <x:c r="F75" s="16" t="str">
        <x:v>Tài liệu PUT/GET + kiểm tra persistence</x:v>
      </x:c>
      <x:c r="G75" s="16" t="str">
        <x:v>Đã đối chiếu</x:v>
      </x:c>
      <x:c r="H75" s="16" t="str">
        <x:v>Source local có thể cập nhật field tùy chọn; chỉ dùng employee mới. Chưa kiểm tra tất cả field ngoài phạm vi.</x:v>
      </x:c>
    </x:row>
    <x:row r="76" ht="50.25" customHeight="1">
      <x:c r="A76" s="17" t="str">
        <x:v>OHR62</x:v>
      </x:c>
      <x:c r="B76" s="17" t="str">
        <x:v>API_07</x:v>
      </x:c>
      <x:c r="C76" s="17" t="str">
        <x:v>PIM / API</x:v>
      </x:c>
      <x:c r="D76" s="17" t="str">
        <x:v>DELETE employee riêng</x:v>
      </x:c>
      <x:c r="E76" s="17" t="str">
        <x:v>DELETE ids employee do test tạo trả 200; GET list theo mã riêng không còn employee.</x:v>
      </x:c>
      <x:c r="F76" s="17" t="str">
        <x:v>Tài liệu DELETE + xác minh qua list</x:v>
      </x:c>
      <x:c r="G76" s="17" t="str">
        <x:v>Đã đối chiếu</x:v>
      </x:c>
      <x:c r="H76" s="17" t="str">
        <x:v>Docs List ghi employeeId integer nhưng local chấp nhận mã chuỗi theo tài liệu dự án. Cần ghi hợp đồng local, không suy rộng mọi bản.</x:v>
      </x:c>
    </x:row>
    <x:row r="77" ht="48" customHeight="1">
      <x:c r="A77" s="16" t="str">
        <x:v>OHR63</x:v>
      </x:c>
      <x:c r="B77" s="16" t="str">
        <x:v>OHR63</x:v>
      </x:c>
      <x:c r="C77" s="16" t="str">
        <x:v>Admin / API</x:v>
      </x:c>
      <x:c r="D77" s="16" t="str">
        <x:v>GET danh sách users</x:v>
      </x:c>
      <x:c r="E77" s="16" t="str">
        <x:v>Admin gọi endpoint users nhận 200, có danh sách users với dataset hiện có.</x:v>
      </x:c>
      <x:c r="F77" s="16" t="str">
        <x:v>Endpoint trong code + đối chứng Authorization lịch sử</x:v>
      </x:c>
      <x:c r="G77" s="16" t="str">
        <x:v>Cần xác nhận</x:v>
      </x:c>
      <x:c r="H77" s="16" t="str">
        <x:v>Chưa có đặc tả riêng được đối chiếu trong đợt này; chỉ kiểm tra status/nonempty, chưa kiểm tra field hay phân trang.</x:v>
      </x:c>
    </x:row>
    <x:row r="78" ht="50.25" customHeight="1">
      <x:c r="A78" s="17" t="str">
        <x:v>OHR64</x:v>
      </x:c>
      <x:c r="B78" s="17" t="str">
        <x:v>REC_VAL_01</x:v>
      </x:c>
      <x:c r="C78" s="17" t="str">
        <x:v>Recruitment / API</x:v>
      </x:c>
      <x:c r="D78" s="17" t="str">
        <x:v>Thiếu firstName</x:v>
      </x:c>
      <x:c r="E78" s="17" t="str">
        <x:v>POST Candidate bị từ chối; hợp đồng local dùng 422, báo field firstName, không trả candidate mới.</x:v>
      </x:c>
      <x:c r="F78" s="17" t="str">
        <x:v>Tài liệu field API + source local được mô tả trong docs</x:v>
      </x:c>
      <x:c r="G78" s="17" t="str">
        <x:v>Cần xác nhận</x:v>
      </x:c>
      <x:c r="H78" s="17" t="str">
        <x:v>Trang API xác nhận field/type nhưng không nêu đầy đủ hợp đồng lỗi 422. Source v5.9 được docs dẫn; chưa đọc lại được vì Docker dừng và URL source không tải được.</x:v>
      </x:c>
    </x:row>
    <x:row r="79" ht="50.25" customHeight="1">
      <x:c r="A79" s="16" t="str">
        <x:v>OHR64</x:v>
      </x:c>
      <x:c r="B79" s="16" t="str">
        <x:v>REC_VAL_02</x:v>
      </x:c>
      <x:c r="C79" s="16" t="str">
        <x:v>Recruitment / API</x:v>
      </x:c>
      <x:c r="D79" s="16" t="str">
        <x:v>Thiếu lastName</x:v>
      </x:c>
      <x:c r="E79" s="16" t="str">
        <x:v>POST Candidate bị từ chối; hợp đồng local dùng 422, báo field lastName, không trả candidate mới.</x:v>
      </x:c>
      <x:c r="F79" s="16" t="str">
        <x:v>Tài liệu field API + source local được mô tả trong docs</x:v>
      </x:c>
      <x:c r="G79" s="16" t="str">
        <x:v>Cần xác nhận</x:v>
      </x:c>
      <x:c r="H79" s="16" t="str">
        <x:v>Trang API xác nhận field/type nhưng không nêu đầy đủ hợp đồng lỗi 422. Source v5.9 được docs dẫn; chưa đọc lại được vì Docker dừng và URL source không tải được.</x:v>
      </x:c>
    </x:row>
    <x:row r="80" ht="50.25" customHeight="1">
      <x:c r="A80" s="17" t="str">
        <x:v>OHR64</x:v>
      </x:c>
      <x:c r="B80" s="17" t="str">
        <x:v>REC_VAL_03</x:v>
      </x:c>
      <x:c r="C80" s="17" t="str">
        <x:v>Recruitment / API</x:v>
      </x:c>
      <x:c r="D80" s="17" t="str">
        <x:v>Thiếu email</x:v>
      </x:c>
      <x:c r="E80" s="17" t="str">
        <x:v>POST Candidate bị từ chối; hợp đồng local dùng 422, báo field email, không trả candidate mới.</x:v>
      </x:c>
      <x:c r="F80" s="17" t="str">
        <x:v>Tài liệu field API + source local được mô tả trong docs</x:v>
      </x:c>
      <x:c r="G80" s="17" t="str">
        <x:v>Cần xác nhận</x:v>
      </x:c>
      <x:c r="H80" s="17" t="str">
        <x:v>Trang API xác nhận field/type nhưng không nêu đầy đủ hợp đồng lỗi 422. Source v5.9 được docs dẫn; chưa đọc lại được vì Docker dừng và URL source không tải được.</x:v>
      </x:c>
    </x:row>
    <x:row r="81" ht="50.25" customHeight="1">
      <x:c r="A81" s="16" t="str">
        <x:v>OHR65</x:v>
      </x:c>
      <x:c r="B81" s="16" t="str">
        <x:v>REC_VAL_04</x:v>
      </x:c>
      <x:c r="C81" s="16" t="str">
        <x:v>Recruitment / API</x:v>
      </x:c>
      <x:c r="D81" s="16" t="str">
        <x:v>Email không đúng định dạng</x:v>
      </x:c>
      <x:c r="E81" s="16" t="str">
        <x:v>POST Candidate bị từ chối; hợp đồng local dùng 422, báo field email, không trả candidate mới.</x:v>
      </x:c>
      <x:c r="F81" s="16" t="str">
        <x:v>Tài liệu field API + source local được mô tả trong docs</x:v>
      </x:c>
      <x:c r="G81" s="16" t="str">
        <x:v>Cần xác nhận</x:v>
      </x:c>
      <x:c r="H81" s="16" t="str">
        <x:v>Trang API xác nhận field/type nhưng không nêu đầy đủ hợp đồng lỗi 422. Source v5.9 được docs dẫn; chưa đọc lại được vì Docker dừng và URL source không tải được.</x:v>
      </x:c>
    </x:row>
    <x:row r="82" ht="50.25" customHeight="1">
      <x:c r="A82" s="17" t="str">
        <x:v>OHR65</x:v>
      </x:c>
      <x:c r="B82" s="17" t="str">
        <x:v>REC_VAL_05</x:v>
      </x:c>
      <x:c r="C82" s="17" t="str">
        <x:v>Recruitment / API</x:v>
      </x:c>
      <x:c r="D82" s="17" t="str">
        <x:v>firstName là JSON number 123</x:v>
      </x:c>
      <x:c r="E82" s="17" t="str">
        <x:v>POST Candidate bị từ chối; hợp đồng local dùng 422, báo field firstName, không trả candidate mới.</x:v>
      </x:c>
      <x:c r="F82" s="17" t="str">
        <x:v>Tài liệu field API + source local được mô tả trong docs</x:v>
      </x:c>
      <x:c r="G82" s="17" t="str">
        <x:v>Cần xác nhận</x:v>
      </x:c>
      <x:c r="H82" s="17" t="str">
        <x:v>Trang API xác nhận field/type nhưng không nêu đầy đủ hợp đồng lỗi 422. Source v5.9 được docs dẫn; chưa đọc lại được vì Docker dừng và URL source không tải được.</x:v>
      </x:c>
    </x:row>
    <x:row r="83" ht="48" customHeight="1">
      <x:c r="A83" s="16" t="str">
        <x:v>OHR66</x:v>
      </x:c>
      <x:c r="B83" s="16" t="str">
        <x:v>REC_VAL_06</x:v>
      </x:c>
      <x:c r="C83" s="16" t="str">
        <x:v>Recruitment / API</x:v>
      </x:c>
      <x:c r="D83" s="16" t="str">
        <x:v>firstName dài 29 ký tự</x:v>
      </x:c>
      <x:c r="E83" s="16" t="str">
        <x:v>POST tên 29 ký tự hợp lệ trả 200; GET lại đúng ID và tên nguyên vẹn.</x:v>
      </x:c>
      <x:c r="F83" s="16" t="str">
        <x:v>Tài liệu API giới hạn 30 + so sánh POST/GET</x:v>
      </x:c>
      <x:c r="G83" s="16" t="str">
        <x:v>Đã đối chiếu</x:v>
      </x:c>
      <x:c r="H83" s="16" t="str">
        <x:v>Giới hạn áp dụng cho firstName trong trường hợp đã chọn. Chưa kiểm tra Unicode/space hoặc các field khác.</x:v>
      </x:c>
    </x:row>
    <x:row r="84" ht="48" customHeight="1">
      <x:c r="A84" s="17" t="str">
        <x:v>OHR66</x:v>
      </x:c>
      <x:c r="B84" s="17" t="str">
        <x:v>REC_VAL_07</x:v>
      </x:c>
      <x:c r="C84" s="17" t="str">
        <x:v>Recruitment / API</x:v>
      </x:c>
      <x:c r="D84" s="17" t="str">
        <x:v>firstName dài 30 ký tự</x:v>
      </x:c>
      <x:c r="E84" s="17" t="str">
        <x:v>POST tên 30 ký tự hợp lệ trả 200; GET lại đúng ID và tên nguyên vẹn.</x:v>
      </x:c>
      <x:c r="F84" s="17" t="str">
        <x:v>Tài liệu API giới hạn 30 + so sánh POST/GET</x:v>
      </x:c>
      <x:c r="G84" s="17" t="str">
        <x:v>Đã đối chiếu</x:v>
      </x:c>
      <x:c r="H84" s="17" t="str">
        <x:v>Giới hạn áp dụng cho firstName trong trường hợp đã chọn. Chưa kiểm tra Unicode/space hoặc các field khác.</x:v>
      </x:c>
    </x:row>
    <x:row r="85" ht="48" customHeight="1">
      <x:c r="A85" s="16" t="str">
        <x:v>OHR66</x:v>
      </x:c>
      <x:c r="B85" s="16" t="str">
        <x:v>REC_VAL_08</x:v>
      </x:c>
      <x:c r="C85" s="16" t="str">
        <x:v>Recruitment / API</x:v>
      </x:c>
      <x:c r="D85" s="16" t="str">
        <x:v>firstName dài 31 ký tự</x:v>
      </x:c>
      <x:c r="E85" s="16" t="str">
        <x:v>Tên vượt giới hạn 30 phải bị từ chối; local expected422/firstName/không data.</x:v>
      </x:c>
      <x:c r="F85" s="16" t="str">
        <x:v>API xác nhận max30; mã lỗi dựa hợp đồng local lịch sử</x:v>
      </x:c>
      <x:c r="G85" s="16" t="str">
        <x:v>Cần xác nhận</x:v>
      </x:c>
      <x:c r="H85" s="16" t="str">
        <x:v>Quy tắc vượt max đã có tài liệu. Cần đọc lại source xử lý lỗi của đúng bản local để xác nhận chính xác 422.</x:v>
      </x:c>
    </x:row>
  </x:sheetData>
  <x:conditionalFormatting sqref="G11:G85">
    <x:cfRule type="containsText" dxfId="0" priority="1" operator="containsText" text="Cần xác nhận"/>
    <x:cfRule type="containsText" dxfId="1" priority="2" operator="containsText" text="Có mâu thuẫn"/>
  </x:conditionalFormatting>
  <x:dataValidations count="1">
    <x:dataValidation type="list" sqref="G11:G85">
      <x:formula1>"Đã đối chiếu,Cần xác nhận,Có mâu thuẫn"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7130109c549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3.1299991607666" hidden="0" customWidth="1"/>
    <x:col min="2" max="2" width="58.130001068115234" hidden="0" customWidth="1"/>
    <x:col min="3" max="3" width="76.25" hidden="0" customWidth="1"/>
    <x:col min="4" max="4" width="73.12999725341797" hidden="0" customWidth="1"/>
  </x:cols>
  <x:sheetData>
    <x:row r="1" ht="9" customHeight="1">
      <x:c r="A1" s="2"/>
      <x:c r="B1" s="2"/>
      <x:c r="C1" s="2"/>
      <x:c r="D1" s="2"/>
    </x:row>
    <x:row r="2" ht="24" customHeight="1">
      <x:c r="A2" s="3" t="str">
        <x:v>Assertion hiện có và nguồn Expected</x:v>
      </x:c>
      <x:c r="B2" s="2"/>
      <x:c r="C2" s="2"/>
      <x:c r="D2" s="2"/>
    </x:row>
    <x:row r="3" ht="18" customHeight="1">
      <x:c r="A3" s="6" t="str">
        <x:v>Đọc assertion để biết code thực sự kiểm tra gì. Nguồn Expected và code test có vai trò khác nhau.</x:v>
      </x:c>
      <x:c r="B3" s="6"/>
      <x:c r="C3" s="6"/>
      <x:c r="D3" s="6"/>
    </x:row>
    <x:row r="4" ht="18" customHeight="1">
      <x:c r="A4" s="6" t="str">
        <x:v>Tài liệu API đã mở lại. Source ứng dụng v5.9 chỉ có dẫn chiếu lịch sử; Docker đang dừng và URL source chưa tải được.</x:v>
      </x:c>
      <x:c r="B4" s="6"/>
      <x:c r="C4" s="6"/>
      <x:c r="D4" s="6"/>
    </x:row>
    <x:row r="5" ht="18" customHeight="1">
      <x:c r="A5" s="6" t="str">
        <x:v>UI cũ: chưa tìm thấy đặc tả độc lập trong phần đã rà soát. Code/POM chỉ xác nhận test đang làm gì.</x:v>
      </x:c>
      <x:c r="B5" s="6"/>
      <x:c r="C5" s="6"/>
      <x:c r="D5" s="6"/>
    </x:row>
    <x:row r="6" ht="18" customHeight="1">
      <x:c r="A6" s="6" t="str">
        <x:v>Đường dẫn tính từ thư mục gốc repository. Số dòng nguồn ghi tại thời điểm rà soát.</x:v>
      </x:c>
      <x:c r="B6" s="6"/>
      <x:c r="C6" s="6"/>
      <x:c r="D6" s="6"/>
    </x:row>
    <x:row r="7" ht="18" customHeight="1">
      <x:c r="A7" s="6" t="str">
        <x:v>Với issue: expected của người báo lỗi và baseline local hỗ trợ regression; chưa thay thế yêu cầu sản phẩm được phê duyệt.</x:v>
      </x:c>
      <x:c r="B7" s="6"/>
      <x:c r="C7" s="6"/>
      <x:c r="D7" s="6"/>
    </x:row>
    <x:row r="8" ht="18" customHeight="1">
      <x:c r="A8" s="6" t="str">
        <x:v>Cần xác nhận: thiếu căn cứ hoặc hợp đồng chưa chốt. Có mâu thuẫn: nguồn/tài liệu/code khác nhau tại điểm đã ghi.</x:v>
      </x:c>
      <x:c r="B8" s="6"/>
      <x:c r="C8" s="6"/>
      <x:c r="D8" s="6"/>
    </x:row>
    <x:row r="9" ht="9" customHeight="1">
      <x:c r="A9" s="2"/>
      <x:c r="B9" s="2"/>
      <x:c r="C9" s="2"/>
      <x:c r="D9" s="2"/>
    </x:row>
    <x:row r="10" ht="31.5" customHeight="1">
      <x:c r="A10" s="12" t="str">
        <x:v>OHR / Case ID</x:v>
      </x:c>
      <x:c r="B10" s="13" t="str">
        <x:v>Assertion đang có trong code</x:v>
      </x:c>
      <x:c r="C10" s="13" t="str">
        <x:v>Nguồn Expected / dẫn chiếu</x:v>
      </x:c>
      <x:c r="D10" s="14" t="str">
        <x:v>Code test / POM</x:v>
      </x:c>
    </x:row>
    <x:row r="11" ht="48" customHeight="1">
      <x:c r="A11" s="16" t="str">
        <x:v>OHR1</x:v>
      </x:c>
      <x:c r="B11" s="16" t="str">
        <x:v>Chỉ assert trang Login trước khi submit. Sau click chỉ ghi log.</x:v>
      </x:c>
      <x:c r="C11" s="16" t="str">
        <x:v>Chưa tìm thấy nguồn độc lập trong phạm vi rà soát. Ý định hiện tại được đọc từ test/POM.</x:v>
      </x:c>
      <x:c r="D11" s="16" t="str">
        <x:v>src/test/java/com/hrm/TestCase/LoginTest.java:21
src/main/java/com/hrm/Pages/AdminPage/LoginPage.java:47</x:v>
      </x:c>
    </x:row>
    <x:row r="12" ht="48" customHeight="1">
      <x:c r="A12" s="17" t="str">
        <x:v>OHR2</x:v>
      </x:c>
      <x:c r="B12" s="17" t="str">
        <x:v>Assert isLoginFail(): có phần tử cảnh báo invalid hoặc Required; chưa tách theo dòng.</x:v>
      </x:c>
      <x:c r="C12" s="17" t="str">
        <x:v>Chưa tìm thấy nguồn độc lập trong phạm vi rà soát. Ý định hiện tại được đọc từ test/POM.</x:v>
      </x:c>
      <x:c r="D12" s="17" t="str">
        <x:v>src/test/java/com/hrm/TestCase/LoginTest.java:29
src/main/java/com/hrm/Pages/AdminPage/LoginPage.java:57</x:v>
      </x:c>
    </x:row>
    <x:row r="13" ht="48" customHeight="1">
      <x:c r="A13" s="16" t="str">
        <x:v>OHR3</x:v>
      </x:c>
      <x:c r="B13" s="16" t="str">
        <x:v>Assert tiêu đề và danh sách phần tử xác nhận không rỗng; chưa kiểm tra email hay đổi mật khẩu.</x:v>
      </x:c>
      <x:c r="C13" s="16" t="str">
        <x:v>Chưa tìm thấy nguồn độc lập trong phạm vi rà soát. Ý định hiện tại được đọc từ test/POM.</x:v>
      </x:c>
      <x:c r="D13" s="16" t="str">
        <x:v>src/test/java/com/hrm/TestCase/LoginTest.java:39
src/main/java/com/hrm/Pages/AdminPage/AlertResetPassSuccess.java:23</x:v>
      </x:c>
    </x:row>
    <x:row r="14" ht="48" customHeight="1">
      <x:c r="A14" s="17" t="str">
        <x:v>OHR4</x:v>
      </x:c>
      <x:c r="B14" s="17" t="str">
        <x:v>Assert vào trang Admin; kết quả tìm kiếm chỉ if/else ghi log.</x:v>
      </x:c>
      <x:c r="C14" s="17" t="str">
        <x:v>Chưa tìm thấy nguồn độc lập trong phạm vi rà soát. Ý định hiện tại được đọc từ test/POM.</x:v>
      </x:c>
      <x:c r="D14" s="17" t="str">
        <x:v>src/test/java/com/hrm/TestCase/AdminTab/SearchingUserWithValidData.java:20
src/main/java/com/hrm/Pages/AdminPage/UserManagePage.java:75</x:v>
      </x:c>
    </x:row>
    <x:row r="15" ht="48" customHeight="1">
      <x:c r="A15" s="16" t="str">
        <x:v>OHR5</x:v>
      </x:c>
      <x:c r="B15" s="16" t="str">
        <x:v>Assert isNoRecordFound().</x:v>
      </x:c>
      <x:c r="C15" s="16" t="str">
        <x:v>Chưa tìm thấy nguồn độc lập trong phạm vi rà soát. Ý định hiện tại được đọc từ test/POM.</x:v>
      </x:c>
      <x:c r="D15" s="16" t="str">
        <x:v>src/test/java/com/hrm/TestCase/AdminTab/SearchingUserWithInvalidData.java:19</x:v>
      </x:c>
    </x:row>
    <x:row r="16" ht="48" customHeight="1">
      <x:c r="A16" s="17" t="str">
        <x:v>OHR6</x:v>
      </x:c>
      <x:c r="B16" s="17" t="str">
        <x:v>Assert trang và success toast; chưa đọc lại user.</x:v>
      </x:c>
      <x:c r="C16" s="17" t="str">
        <x:v>Chưa tìm thấy nguồn độc lập trong phạm vi rà soát. Ý định hiện tại được đọc từ test/POM.</x:v>
      </x:c>
      <x:c r="D16" s="17" t="str">
        <x:v>src/test/java/com/hrm/TestCase/AdminTab/AddUserFunctionality.java:21
src/main/java/com/hrm/Util/componentLocator.java:134</x:v>
      </x:c>
    </x:row>
    <x:row r="17" ht="48" customHeight="1">
      <x:c r="A17" s="16" t="str">
        <x:v>OHR7</x:v>
      </x:c>
      <x:c r="B17" s="16" t="str">
        <x:v>Assert trang Edit và toast; chưa đăng nhập bằng mật khẩu mới.</x:v>
      </x:c>
      <x:c r="C17" s="16" t="str">
        <x:v>Chưa tìm thấy nguồn độc lập trong phạm vi rà soát. Ý định hiện tại được đọc từ test/POM.</x:v>
      </x:c>
      <x:c r="D17" s="16" t="str">
        <x:v>src/test/java/com/hrm/TestCase/AdminTab/EditUserFunctionality.java:19
src/main/java/com/hrm/Util/componentLocator.java:134</x:v>
      </x:c>
    </x:row>
    <x:row r="18" ht="48" customHeight="1">
      <x:c r="A18" s="17" t="str">
        <x:v>OHR8</x:v>
      </x:c>
      <x:c r="B18" s="17" t="str">
        <x:v>Assert success toast; chưa tìm lại sau xóa.</x:v>
      </x:c>
      <x:c r="C18" s="17" t="str">
        <x:v>Chưa tìm thấy nguồn độc lập trong phạm vi rà soát. Ý định hiện tại được đọc từ test/POM.</x:v>
      </x:c>
      <x:c r="D18" s="17" t="str">
        <x:v>src/test/java/com/hrm/TestCase/AdminTab/DeleteUserFunctionality.java:18
src/main/java/com/hrm/Util/componentLocator.java:134</x:v>
      </x:c>
    </x:row>
    <x:row r="19" ht="48" customHeight="1">
      <x:c r="A19" s="16" t="str">
        <x:v>OHR9</x:v>
      </x:c>
      <x:c r="B19" s="16" t="str">
        <x:v>Assert các trang và success toast.</x:v>
      </x:c>
      <x:c r="C19" s="16" t="str">
        <x:v>Chưa tìm thấy nguồn độc lập trong phạm vi rà soát. Ý định hiện tại được đọc từ test/POM.</x:v>
      </x:c>
      <x:c r="D19" s="16" t="str">
        <x:v>src/test/java/com/hrm/TestCase/AdminTab/AddJobTitlesFunctionality.java:21
src/main/java/com/hrm/Util/componentLocator.java:134</x:v>
      </x:c>
    </x:row>
    <x:row r="20" ht="48" customHeight="1">
      <x:c r="A20" s="17" t="str">
        <x:v>OHR10</x:v>
      </x:c>
      <x:c r="B20" s="17" t="str">
        <x:v>Assert trang Edit và success toast.</x:v>
      </x:c>
      <x:c r="C20" s="17" t="str">
        <x:v>Chưa tìm thấy nguồn độc lập trong phạm vi rà soát. Ý định hiện tại được đọc từ test/POM.</x:v>
      </x:c>
      <x:c r="D20" s="17" t="str">
        <x:v>src/test/java/com/hrm/TestCase/AdminTab/EditJobTitleFunctionality.java:19
src/main/java/com/hrm/Util/componentLocator.java:134</x:v>
      </x:c>
    </x:row>
    <x:row r="21" ht="48" customHeight="1">
      <x:c r="A21" s="16" t="str">
        <x:v>OHR11</x:v>
      </x:c>
      <x:c r="B21" s="16" t="str">
        <x:v>Assert trang và toast xóa.</x:v>
      </x:c>
      <x:c r="C21" s="16" t="str">
        <x:v>Chưa tìm thấy nguồn độc lập trong phạm vi rà soát. Ý định hiện tại được đọc từ test/POM.</x:v>
      </x:c>
      <x:c r="D21" s="16" t="str">
        <x:v>src/test/java/com/hrm/TestCase/AdminTab/DeleteJobTitlesFunctionality.java:18
src/main/java/com/hrm/Util/componentLocator.java:134</x:v>
      </x:c>
    </x:row>
    <x:row r="22" ht="48" customHeight="1">
      <x:c r="A22" s="17" t="str">
        <x:v>OHR12</x:v>
      </x:c>
      <x:c r="B22" s="17" t="str">
        <x:v>Assert các trang và success toast.</x:v>
      </x:c>
      <x:c r="C22" s="17" t="str">
        <x:v>Chưa tìm thấy nguồn độc lập trong phạm vi rà soát. Ý định hiện tại được đọc từ test/POM.</x:v>
      </x:c>
      <x:c r="D22" s="17" t="str">
        <x:v>src/test/java/com/hrm/TestCase/AdminTab/AddLocationFunctionality.java:21
src/main/java/com/hrm/Util/componentLocator.java:134</x:v>
      </x:c>
    </x:row>
    <x:row r="23" ht="48" customHeight="1">
      <x:c r="A23" s="16" t="str">
        <x:v>OHR13</x:v>
      </x:c>
      <x:c r="B23" s="16" t="str">
        <x:v>Assert trang và success toast.</x:v>
      </x:c>
      <x:c r="C23" s="16" t="str">
        <x:v>Chưa tìm thấy nguồn độc lập trong phạm vi rà soát. Ý định hiện tại được đọc từ test/POM.</x:v>
      </x:c>
      <x:c r="D23" s="16" t="str">
        <x:v>src/test/java/com/hrm/TestCase/AdminTab/DeleteLocationFunctionality.java:18
src/main/java/com/hrm/Util/componentLocator.java:134</x:v>
      </x:c>
    </x:row>
    <x:row r="24" ht="48" customHeight="1">
      <x:c r="A24" s="17" t="str">
        <x:v>OHR14</x:v>
      </x:c>
      <x:c r="B24" s="17" t="str">
        <x:v>Assert trang Edit và success toast.</x:v>
      </x:c>
      <x:c r="C24" s="17" t="str">
        <x:v>Chưa tìm thấy nguồn độc lập trong phạm vi rà soát. Ý định hiện tại được đọc từ test/POM.</x:v>
      </x:c>
      <x:c r="D24" s="17" t="str">
        <x:v>src/test/java/com/hrm/TestCase/AdminTab/EditLocationFunctionality.java:19
src/main/java/com/hrm/Util/componentLocator.java:134</x:v>
      </x:c>
    </x:row>
    <x:row r="25" ht="48" customHeight="1">
      <x:c r="A25" s="16" t="str">
        <x:v>OHR15</x:v>
      </x:c>
      <x:c r="B25" s="16" t="str">
        <x:v>Assert trang; checkSearch trả boolean chỉ dùng if/else ghi log.</x:v>
      </x:c>
      <x:c r="C25" s="16" t="str">
        <x:v>Chưa tìm thấy nguồn độc lập trong phạm vi rà soát. Ý định hiện tại được đọc từ test/POM.</x:v>
      </x:c>
      <x:c r="D25" s="16" t="str">
        <x:v>src/test/java/com/hrm/TestCase/AdminTab/SearchLocationFunctionality.java:19
src/main/java/com/hrm/Util/componentLocator.java:253</x:v>
      </x:c>
    </x:row>
    <x:row r="26" ht="48" customHeight="1">
      <x:c r="A26" s="17" t="str">
        <x:v>OHR16</x:v>
      </x:c>
      <x:c r="B26" s="17" t="str">
        <x:v>Assert các trang và success toast.</x:v>
      </x:c>
      <x:c r="C26" s="17" t="str">
        <x:v>Chưa tìm thấy nguồn độc lập trong phạm vi rà soát. Ý định hiện tại được đọc từ test/POM.</x:v>
      </x:c>
      <x:c r="D26" s="17" t="str">
        <x:v>src/test/java/com/hrm/TestCase/AdminTab/AddSkillFunctionality.java:20
src/main/java/com/hrm/Util/componentLocator.java:134</x:v>
      </x:c>
    </x:row>
    <x:row r="27" ht="48" customHeight="1">
      <x:c r="A27" s="16" t="str">
        <x:v>OHR17</x:v>
      </x:c>
      <x:c r="B27" s="16" t="str">
        <x:v>Assert các trang và success toast.</x:v>
      </x:c>
      <x:c r="C27" s="16" t="str">
        <x:v>Chưa tìm thấy nguồn độc lập trong phạm vi rà soát. Ý định hiện tại được đọc từ test/POM.</x:v>
      </x:c>
      <x:c r="D27" s="16" t="str">
        <x:v>src/test/java/com/hrm/TestCase/AdminTab/EditSkillFunctionality.java:19
src/main/java/com/hrm/Util/componentLocator.java:134</x:v>
      </x:c>
    </x:row>
    <x:row r="28" ht="48" customHeight="1">
      <x:c r="A28" s="17" t="str">
        <x:v>OHR18</x:v>
      </x:c>
      <x:c r="B28" s="17" t="str">
        <x:v>Assert trang và success toast.</x:v>
      </x:c>
      <x:c r="C28" s="17" t="str">
        <x:v>Chưa tìm thấy nguồn độc lập trong phạm vi rà soát. Ý định hiện tại được đọc từ test/POM.</x:v>
      </x:c>
      <x:c r="D28" s="17" t="str">
        <x:v>src/test/java/com/hrm/TestCase/AdminTab/DeleteSkillFunctionality.java:18
src/main/java/com/hrm/Util/componentLocator.java:134</x:v>
      </x:c>
    </x:row>
    <x:row r="29" ht="48" customHeight="1">
      <x:c r="A29" s="16" t="str">
        <x:v>OHR19</x:v>
      </x:c>
      <x:c r="B29" s="16" t="str">
        <x:v>Assert các trang và success toast.</x:v>
      </x:c>
      <x:c r="C29" s="16" t="str">
        <x:v>Chưa tìm thấy nguồn độc lập trong phạm vi rà soát. Ý định hiện tại được đọc từ test/POM.</x:v>
      </x:c>
      <x:c r="D29" s="16" t="str">
        <x:v>src/test/java/com/hrm/TestCase/PIMTab/AddEmployeeFunctionality.java:19
src/main/java/com/hrm/Util/componentLocator.java:134</x:v>
      </x:c>
    </x:row>
    <x:row r="30" ht="48" customHeight="1">
      <x:c r="A30" s="17" t="str">
        <x:v>OHR20</x:v>
      </x:c>
      <x:c r="B30" s="17" t="str">
        <x:v>Assert các trang và success toast.</x:v>
      </x:c>
      <x:c r="C30" s="17" t="str">
        <x:v>Chưa tìm thấy nguồn độc lập trong phạm vi rà soát. Ý định hiện tại được đọc từ test/POM.</x:v>
      </x:c>
      <x:c r="D30" s="17" t="str">
        <x:v>src/test/java/com/hrm/TestCase/PIMTab/EditJobDetailFunctionality.java:20
src/main/java/com/hrm/Util/componentLocator.java:134</x:v>
      </x:c>
    </x:row>
    <x:row r="31" ht="48" customHeight="1">
      <x:c r="A31" s="16" t="str">
        <x:v>OHR21</x:v>
      </x:c>
      <x:c r="B31" s="16" t="str">
        <x:v>Assert các trang và success toast.</x:v>
      </x:c>
      <x:c r="C31" s="16" t="str">
        <x:v>Chưa tìm thấy nguồn độc lập trong phạm vi rà soát. Ý định hiện tại được đọc từ test/POM.</x:v>
      </x:c>
      <x:c r="D31" s="16" t="str">
        <x:v>src/test/java/com/hrm/TestCase/PIMTab/EditSalaryFunctionality.java:20
src/main/java/com/hrm/Util/componentLocator.java:134</x:v>
      </x:c>
    </x:row>
    <x:row r="32" ht="48" customHeight="1">
      <x:c r="A32" s="17" t="str">
        <x:v>OHR22</x:v>
      </x:c>
      <x:c r="B32" s="17" t="str">
        <x:v>Assert các trang và success toast.</x:v>
      </x:c>
      <x:c r="C32" s="17" t="str">
        <x:v>Chưa tìm thấy nguồn độc lập trong phạm vi rà soát. Ý định hiện tại được đọc từ test/POM.</x:v>
      </x:c>
      <x:c r="D32" s="17" t="str">
        <x:v>src/test/java/com/hrm/TestCase/PIMTab/EditSupervisorFunctionality.java:20
src/main/java/com/hrm/Util/componentLocator.java:134</x:v>
      </x:c>
    </x:row>
    <x:row r="33" ht="48" customHeight="1">
      <x:c r="A33" s="16" t="str">
        <x:v>OHR23</x:v>
      </x:c>
      <x:c r="B33" s="16" t="str">
        <x:v>Assert trang; checkSearch chỉ dùng if/else ghi log.</x:v>
      </x:c>
      <x:c r="C33" s="16" t="str">
        <x:v>Chưa tìm thấy nguồn độc lập trong phạm vi rà soát. Ý định hiện tại được đọc từ test/POM.</x:v>
      </x:c>
      <x:c r="D33" s="16" t="str">
        <x:v>src/test/java/com/hrm/TestCase/PIMTab/SearchEmployeeFunctionality.java:19
src/main/java/com/hrm/Pages/PIMPage/EmployeeListPage.java:79</x:v>
      </x:c>
    </x:row>
    <x:row r="34" ht="48" customHeight="1">
      <x:c r="A34" s="17" t="str">
        <x:v>OHR24</x:v>
      </x:c>
      <x:c r="B34" s="17" t="str">
        <x:v>Assert trang và success toast.</x:v>
      </x:c>
      <x:c r="C34" s="17" t="str">
        <x:v>Chưa tìm thấy nguồn độc lập trong phạm vi rà soát. Ý định hiện tại được đọc từ test/POM.</x:v>
      </x:c>
      <x:c r="D34" s="17" t="str">
        <x:v>src/test/java/com/hrm/TestCase/PIMTab/DeleteEmployeeFunctionality.java:18
src/main/java/com/hrm/Util/componentLocator.java:134</x:v>
      </x:c>
    </x:row>
    <x:row r="35" ht="48" customHeight="1">
      <x:c r="A35" s="16" t="str">
        <x:v>OHR25</x:v>
      </x:c>
      <x:c r="B35" s="16" t="str">
        <x:v>Assert trang Personal Details; Save chỉ chụp ảnh, chưa assert trạng thái sau terminate.</x:v>
      </x:c>
      <x:c r="C35" s="16" t="str">
        <x:v>Chưa tìm thấy nguồn độc lập trong phạm vi rà soát. Ý định hiện tại được đọc từ test/POM.</x:v>
      </x:c>
      <x:c r="D35" s="16" t="str">
        <x:v>src/test/java/com/hrm/TestCase/PIMTab/TerminateEmployeeFunctionality.java:39
src/main/java/com/hrm/Pages/PIMPage/EditEmployeePage.java:123</x:v>
      </x:c>
    </x:row>
    <x:row r="36" ht="48" customHeight="1">
      <x:c r="A36" s="17" t="str">
        <x:v>OHR26</x:v>
      </x:c>
      <x:c r="B36" s="17" t="str">
        <x:v>Assert các trang và success toast sau thao tác.</x:v>
      </x:c>
      <x:c r="C36" s="17" t="str">
        <x:v>Chưa tìm thấy nguồn độc lập trong phạm vi rà soát. Ý định hiện tại được đọc từ test/POM.</x:v>
      </x:c>
      <x:c r="D36" s="17" t="str">
        <x:v>src/test/java/com/hrm/TestCase/Recruitment/AddVacancyFunctionality.java:21
src/main/java/com/hrm/Util/componentLocator.java:134</x:v>
      </x:c>
    </x:row>
    <x:row r="37" ht="48" customHeight="1">
      <x:c r="A37" s="16" t="str">
        <x:v>OHR27</x:v>
      </x:c>
      <x:c r="B37" s="16" t="str">
        <x:v>Assert các trang; checkSearch chỉ if/else ghi log.</x:v>
      </x:c>
      <x:c r="C37" s="16" t="str">
        <x:v>Chưa tìm thấy nguồn độc lập trong phạm vi rà soát. Ý định hiện tại được đọc từ test/POM.</x:v>
      </x:c>
      <x:c r="D37" s="16" t="str">
        <x:v>src/test/java/com/hrm/TestCase/Recruitment/SearchVacancyFunctionality.java:20
src/main/java/com/hrm/Pages/RecruitmentPage/VacanciesPage.java:51</x:v>
      </x:c>
    </x:row>
    <x:row r="38" ht="48" customHeight="1">
      <x:c r="A38" s="17" t="str">
        <x:v>OHR28</x:v>
      </x:c>
      <x:c r="B38" s="17" t="str">
        <x:v>Assert các trang và success toast.</x:v>
      </x:c>
      <x:c r="C38" s="17" t="str">
        <x:v>Chưa tìm thấy nguồn độc lập trong phạm vi rà soát. Ý định hiện tại được đọc từ test/POM.</x:v>
      </x:c>
      <x:c r="D38" s="17" t="str">
        <x:v>src/test/java/com/hrm/TestCase/Recruitment/DeleteVacancyFunctionality.java:19
src/main/java/com/hrm/Util/componentLocator.java:134</x:v>
      </x:c>
    </x:row>
    <x:row r="39" ht="48" customHeight="1">
      <x:c r="A39" s="16" t="str">
        <x:v>OHR29</x:v>
      </x:c>
      <x:c r="B39" s="16" t="str">
        <x:v>Assert các trang và success toast.</x:v>
      </x:c>
      <x:c r="C39" s="16" t="str">
        <x:v>Chưa tìm thấy nguồn độc lập trong phạm vi rà soát. Ý định hiện tại được đọc từ test/POM.</x:v>
      </x:c>
      <x:c r="D39" s="16" t="str">
        <x:v>src/test/java/com/hrm/TestCase/Recruitment/AddCandidateFunctionality.java:20
src/main/java/com/hrm/Util/componentLocator.java:134</x:v>
      </x:c>
    </x:row>
    <x:row r="40" ht="48" customHeight="1">
      <x:c r="A40" s="17" t="str">
        <x:v>OHR30</x:v>
      </x:c>
      <x:c r="B40" s="17" t="str">
        <x:v>Assert các trang tới dialog Reject; fillNote lưu rồi quay lại, chưa assert trạng thái cuối.</x:v>
      </x:c>
      <x:c r="C40" s="17" t="str">
        <x:v>Chưa tìm thấy nguồn độc lập trong phạm vi rà soát. Ý định hiện tại được đọc từ test/POM.</x:v>
      </x:c>
      <x:c r="D40" s="17" t="str">
        <x:v>src/test/java/com/hrm/TestCase/Recruitment/RejectCandidateFunctionality.java:47
src/main/java/com/hrm/Pages/RecruitmentPage/RejectCandidate.java:18</x:v>
      </x:c>
    </x:row>
    <x:row r="41" ht="48" customHeight="1">
      <x:c r="A41" s="16" t="str">
        <x:v>OHR31</x:v>
      </x:c>
      <x:c r="B41" s="16" t="str">
        <x:v>Assert trang và success toast.</x:v>
      </x:c>
      <x:c r="C41" s="16" t="str">
        <x:v>Chưa tìm thấy nguồn độc lập trong phạm vi rà soát. Ý định hiện tại được đọc từ test/POM.</x:v>
      </x:c>
      <x:c r="D41" s="16" t="str">
        <x:v>src/test/java/com/hrm/TestCase/Recruitment/DeleteCandidateFunctionality.java:45
src/main/java/com/hrm/Util/componentLocator.java:134</x:v>
      </x:c>
    </x:row>
    <x:row r="42" ht="48" customHeight="1">
      <x:c r="A42" s="17" t="str">
        <x:v>OHR32</x:v>
      </x:c>
      <x:c r="B42" s="17" t="str">
        <x:v>Assert trang và success toast.</x:v>
      </x:c>
      <x:c r="C42" s="17" t="str">
        <x:v>Chưa tìm thấy nguồn độc lập trong phạm vi rà soát. Ý định hiện tại được đọc từ test/POM.</x:v>
      </x:c>
      <x:c r="D42" s="17" t="str">
        <x:v>src/test/java/com/hrm/TestCase/MyInfoTab/AddPersonalDetailFunctionality.java:19
src/main/java/com/hrm/Util/componentLocator.java:134</x:v>
      </x:c>
    </x:row>
    <x:row r="43" ht="48" customHeight="1">
      <x:c r="A43" s="16" t="str">
        <x:v>OHR33</x:v>
      </x:c>
      <x:c r="B43" s="16" t="str">
        <x:v>Assert các trang và success toast.</x:v>
      </x:c>
      <x:c r="C43" s="16" t="str">
        <x:v>Chưa tìm thấy nguồn độc lập trong phạm vi rà soát. Ý định hiện tại được đọc từ test/POM.</x:v>
      </x:c>
      <x:c r="D43" s="16" t="str">
        <x:v>src/test/java/com/hrm/TestCase/MyInfoTab/AddContactDetailFunctionality.java:19
src/main/java/com/hrm/Util/componentLocator.java:134</x:v>
      </x:c>
    </x:row>
    <x:row r="44" ht="48" customHeight="1">
      <x:c r="A44" s="17" t="str">
        <x:v>OHR34</x:v>
      </x:c>
      <x:c r="B44" s="17" t="str">
        <x:v>Assert các trang và success toast.</x:v>
      </x:c>
      <x:c r="C44" s="17" t="str">
        <x:v>Chưa tìm thấy nguồn độc lập trong phạm vi rà soát. Ý định hiện tại được đọc từ test/POM.</x:v>
      </x:c>
      <x:c r="D44" s="17" t="str">
        <x:v>src/test/java/com/hrm/TestCase/MyInfoTab/AddEmergencyContactFunctionality.java:21
src/main/java/com/hrm/Util/componentLocator.java:134</x:v>
      </x:c>
    </x:row>
    <x:row r="45" ht="48" customHeight="1">
      <x:c r="A45" s="16" t="str">
        <x:v>OHR35</x:v>
      </x:c>
      <x:c r="B45" s="16" t="str">
        <x:v>Assert trang; DeleteEmergencyContact chỉ click xóa và chụp ảnh.</x:v>
      </x:c>
      <x:c r="C45" s="16" t="str">
        <x:v>Chưa tìm thấy nguồn độc lập trong phạm vi rà soát. Ý định hiện tại được đọc từ test/POM.</x:v>
      </x:c>
      <x:c r="D45" s="16" t="str">
        <x:v>src/test/java/com/hrm/TestCase/MyInfoTab/DeleteEmergencyContactFunctionality.java:19
src/main/java/com/hrm/Pages/MyInfoPage/EmergencyContactPage.java:67</x:v>
      </x:c>
    </x:row>
    <x:row r="46" ht="48" customHeight="1">
      <x:c r="A46" s="17" t="str">
        <x:v>OHR36</x:v>
      </x:c>
      <x:c r="B46" s="17" t="str">
        <x:v>Assert các trang và success toast.</x:v>
      </x:c>
      <x:c r="C46" s="17" t="str">
        <x:v>Chưa tìm thấy nguồn độc lập trong phạm vi rà soát. Ý định hiện tại được đọc từ test/POM.</x:v>
      </x:c>
      <x:c r="D46" s="17" t="str">
        <x:v>src/test/java/com/hrm/TestCase/MyInfoTab/AddDependentFunctionality.java:21
src/main/java/com/hrm/Util/componentLocator.java:134</x:v>
      </x:c>
    </x:row>
    <x:row r="47" ht="48" customHeight="1">
      <x:c r="A47" s="16" t="str">
        <x:v>OHR37</x:v>
      </x:c>
      <x:c r="B47" s="16" t="str">
        <x:v>Assert các trang; DeleteDependent chỉ click xóa và chụp ảnh.</x:v>
      </x:c>
      <x:c r="C47" s="16" t="str">
        <x:v>Chưa tìm thấy nguồn độc lập trong phạm vi rà soát. Ý định hiện tại được đọc từ test/POM.</x:v>
      </x:c>
      <x:c r="D47" s="16" t="str">
        <x:v>src/test/java/com/hrm/TestCase/MyInfoTab/DeleteDependentFunctionality.java:19
src/main/java/com/hrm/Pages/MyInfoPage/DependentPage.java:64</x:v>
      </x:c>
    </x:row>
    <x:row r="48" ht="48" customHeight="1">
      <x:c r="A48" s="17" t="str">
        <x:v>OHR38</x:v>
      </x:c>
      <x:c r="B48" s="17" t="str">
        <x:v>Assert có một dòng bảng chứa chữ Activate; helper không gắn đúng employee/period.</x:v>
      </x:c>
      <x:c r="C48" s="17" t="str">
        <x:v>Chưa tìm thấy nguồn độc lập trong phạm vi rà soát. Ý định hiện tại được đọc từ test/POM.</x:v>
      </x:c>
      <x:c r="D48" s="17" t="str">
        <x:v>src/test/java/com/hrm/TestCase/PerformanceTab/AddReviewFunctionality.java:18
src/main/java/com/hrm/Pages/PerformancePage/AddReviewPage.java:44</x:v>
      </x:c>
    </x:row>
    <x:row r="49" ht="48" customHeight="1">
      <x:c r="A49" s="16" t="str">
        <x:v>OHR39</x:v>
      </x:c>
      <x:c r="B49" s="16" t="str">
        <x:v>Assert checkTable có một dòng chứa tên và Completed; POM đặt tên hai tham số ngược với cách gọi.</x:v>
      </x:c>
      <x:c r="C49" s="16" t="str">
        <x:v>Chưa tìm thấy nguồn độc lập trong phạm vi rà soát. Ý định hiện tại được đọc từ test/POM.</x:v>
      </x:c>
      <x:c r="D49" s="16" t="str">
        <x:v>src/test/java/com/hrm/TestCase/PerformanceTab/WriteReviewFunctionality.java:21
src/main/java/com/hrm/Pages/PerformancePage/ManageReviewPage.java:36</x:v>
      </x:c>
    </x:row>
    <x:row r="50" ht="48" customHeight="1">
      <x:c r="A50" s="17" t="str">
        <x:v>OHR40</x:v>
      </x:c>
      <x:c r="B50" s="17" t="str">
        <x:v>Assert trang; deleteReview chỉ click xóa và xác nhận.</x:v>
      </x:c>
      <x:c r="C50" s="17" t="str">
        <x:v>Chưa tìm thấy nguồn độc lập trong phạm vi rà soát. Ý định hiện tại được đọc từ test/POM.</x:v>
      </x:c>
      <x:c r="D50" s="17" t="str">
        <x:v>src/test/java/com/hrm/TestCase/PerformanceTab/DeleteReviewFunctionality.java:18
src/main/java/com/hrm/Pages/PerformancePage/ManageReviewPage.java:40</x:v>
      </x:c>
    </x:row>
    <x:row r="51" ht="48" customHeight="1">
      <x:c r="A51" s="16" t="str">
        <x:v>OHR41</x:v>
      </x:c>
      <x:c r="B51" s="16" t="str">
        <x:v>Assert nhãn Past và count TAB = count ENTER; SKIP nếu Current/Past cùng count.</x:v>
      </x:c>
      <x:c r="C51" s="16" t="str">
        <x:v>https://github.com/orangehrm/orangehrm/issues/1876
docs/bugs/issue-1876-reproduction.md:1</x:v>
      </x:c>
      <x:c r="D51" s="16" t="str">
        <x:v>src/test/java/com/hrm/TestCase/PIMTab/Issue1876RegressionTest.java:56</x:v>
      </x:c>
    </x:row>
    <x:row r="52" ht="48" customHeight="1">
      <x:c r="A52" s="17" t="str">
        <x:v>OHR42</x:v>
      </x:c>
      <x:c r="B52" s="17" t="str">
        <x:v>Assert setup Add thành công; sau reload assert marker Education không còn.</x:v>
      </x:c>
      <x:c r="C52" s="17" t="str">
        <x:v>https://github.com/orangehrm/orangehrm/issues/1928
docs/bugs/issue-1928-reproduction.md:1</x:v>
      </x:c>
      <x:c r="D52" s="17" t="str">
        <x:v>src/test/java/com/hrm/TestCase/MyInfoTab/Issue1928RegressionTest.java:20</x:v>
      </x:c>
    </x:row>
    <x:row r="53" ht="48" customHeight="1">
      <x:c r="A53" s="16" t="str">
        <x:v>OHR43</x:v>
      </x:c>
      <x:c r="B53" s="16" t="str">
        <x:v>Assert setup A/B, A sau sửa; so toàn bộ text currency của B trước/sau.</x:v>
      </x:c>
      <x:c r="C53" s="16" t="str">
        <x:v>https://github.com/orangehrm/orangehrm/issues/1897
docs/bugs/issue-1897-reproduction.md:1</x:v>
      </x:c>
      <x:c r="D53" s="16" t="str">
        <x:v>src/test/java/com/hrm/TestCase/AdminTab/Issue1897RegressionTest.java:24</x:v>
      </x:c>
    </x:row>
    <x:row r="54" ht="48" customHeight="1">
      <x:c r="A54" s="17" t="str">
        <x:v>OHR44</x:v>
      </x:c>
      <x:c r="B54" s="17" t="str">
        <x:v>Setup xác nhận menu mở; assert isMenuClosed sau click avatar.</x:v>
      </x:c>
      <x:c r="C54" s="17" t="str">
        <x:v>https://github.com/orangehrm/orangehrm/issues/1923
docs/bugs/issue-1923-reproduction.md:1</x:v>
      </x:c>
      <x:c r="D54" s="17" t="str">
        <x:v>src/test/java/com/hrm/TestCase/Issue1923RegressionTest.java:37</x:v>
      </x:c>
    </x:row>
    <x:row r="55" ht="48" customHeight="1">
      <x:c r="A55" s="16" t="str">
        <x:v>OHR45</x:v>
      </x:c>
      <x:c r="B55" s="16" t="str">
        <x:v>Setup menu mở; assert isMenuClosed sau click ngoài.</x:v>
      </x:c>
      <x:c r="C55" s="16" t="str">
        <x:v>https://github.com/orangehrm/orangehrm/issues/1923
docs/bugs/issue-1923-reproduction.md:1</x:v>
      </x:c>
      <x:c r="D55" s="16" t="str">
        <x:v>src/test/java/com/hrm/TestCase/Issue1923RegressionTest.java:49</x:v>
      </x:c>
    </x:row>
    <x:row r="56" ht="48" customHeight="1">
      <x:c r="A56" s="17" t="str">
        <x:v>OHR46</x:v>
      </x:c>
      <x:c r="B56" s="17" t="str">
        <x:v>Assert Application Initiated; Shortlisted trước/sau reload; history tồn tại.</x:v>
      </x:c>
      <x:c r="C56" s="17" t="str">
        <x:v>https://github.com/orangehrm/orangehrm/issues/1926
docs/bugs/issue-1926-reproduction.md:1</x:v>
      </x:c>
      <x:c r="D56" s="17" t="str">
        <x:v>src/test/java/com/hrm/TestCase/Recruitment/Issue1926RegressionTest.java:28</x:v>
      </x:c>
    </x:row>
    <x:row r="57" ht="48" customHeight="1">
      <x:c r="A57" s="16" t="str">
        <x:v>OHR47</x:v>
      </x:c>
      <x:c r="B57" s="16" t="str">
        <x:v>Assert getFirstDayHours(A) bằng timesheetHours.</x:v>
      </x:c>
      <x:c r="C57" s="16" t="str">
        <x:v>https://github.com/orangehrm/orangehrm/issues/1890
docs/bugs/issue-1890-reproduction.md:1</x:v>
      </x:c>
      <x:c r="D57" s="16" t="str">
        <x:v>src/test/java/com/hrm/TestCase/TimeTab/Issue1890RegressionTest.java:43</x:v>
      </x:c>
    </x:row>
    <x:row r="58" ht="48" customHeight="1">
      <x:c r="A58" s="17" t="str">
        <x:v>OHR48</x:v>
      </x:c>
      <x:c r="B58" s="17" t="str">
        <x:v>Assert B thực sự blank; Save/reload; giờ A bằng input.</x:v>
      </x:c>
      <x:c r="C58" s="17" t="str">
        <x:v>https://github.com/orangehrm/orangehrm/issues/1890
docs/bugs/issue-1890-reproduction.md:1</x:v>
      </x:c>
      <x:c r="D58" s="17" t="str">
        <x:v>src/test/java/com/hrm/TestCase/TimeTab/Issue1890RegressionTest.java:57</x:v>
      </x:c>
    </x:row>
    <x:row r="59" ht="48" customHeight="1">
      <x:c r="A59" s="16" t="str">
        <x:v>OHR49</x:v>
      </x:c>
      <x:c r="B59" s="16" t="str">
        <x:v>Assert Timesheet Mon, đủ 7 nhãn lịch và nhãn đầu là M.</x:v>
      </x:c>
      <x:c r="C59" s="16" t="str">
        <x:v>https://github.com/orangehrm/orangehrm/issues/1787
docs/bugs/issue-1787-reproduction.md:1</x:v>
      </x:c>
      <x:c r="D59" s="16" t="str">
        <x:v>src/test/java/com/hrm/TestCase/TimeTab/Issue1787RegressionTest.java:23</x:v>
      </x:c>
    </x:row>
    <x:row r="60" ht="48" customHeight="1">
      <x:c r="A60" s="17" t="str">
        <x:v>OHR50</x:v>
      </x:c>
      <x:c r="B60" s="17" t="str">
        <x:v>Assert đúng Claim nháp/không file ban đầu; không upload error; sau reload có file/comment và count=1.</x:v>
      </x:c>
      <x:c r="C60" s="17" t="str">
        <x:v>https://github.com/orangehrm/orangehrm/issues/1820
docs/bugs/issue-1820-reproduction.md:1</x:v>
      </x:c>
      <x:c r="D60" s="17" t="str">
        <x:v>src/test/java/com/hrm/TestCase/ClaimTab/Issue1820RegressionTest.java:28</x:v>
      </x:c>
    </x:row>
    <x:row r="61" ht="48" customHeight="1">
      <x:c r="A61" s="16" t="str">
        <x:v>OHR51</x:v>
      </x:c>
      <x:c r="B61" s="16" t="str">
        <x:v>Chỉ assert HTTP 200; không assert body/ID.</x:v>
      </x:c>
      <x:c r="C61" s="16" t="str">
        <x:v>https://api-starter-orangehrm.readme.io/reference/get-an-employee</x:v>
      </x:c>
      <x:c r="D61" s="16" t="str">
        <x:v>src/test/java/com/hrm/TestCase/TestSecurity/AuthenticationAPITest.java:24</x:v>
      </x:c>
    </x:row>
    <x:row r="62" ht="48" customHeight="1">
      <x:c r="A62" s="17" t="str">
        <x:v>OHR52</x:v>
      </x:c>
      <x:c r="B62" s="17" t="str">
        <x:v>Assert !=200 và thuộc 401/403/302; không kiểm tra Location hoặc dữ liệu bảo vệ.</x:v>
      </x:c>
      <x:c r="C62" s="17" t="str">
        <x:v>https://api-starter-orangehrm.readme.io/reference/get-an-employee</x:v>
      </x:c>
      <x:c r="D62" s="17" t="str">
        <x:v>src/test/java/com/hrm/TestCase/TestSecurity/AuthenticationAPITest.java:49</x:v>
      </x:c>
    </x:row>
    <x:row r="63" ht="48" customHeight="1">
      <x:c r="A63" s="16" t="str">
        <x:v>OHR53</x:v>
      </x:c>
      <x:c r="B63" s="16" t="str">
        <x:v>Assert !=200 và thuộc 401/403/302; nếu 302 kiểm tra Location chứa /auth/login.</x:v>
      </x:c>
      <x:c r="C63" s="16" t="str">
        <x:v>https://api-starter-orangehrm.readme.io/reference/get-an-employee</x:v>
      </x:c>
      <x:c r="D63" s="16" t="str">
        <x:v>src/test/java/com/hrm/TestCase/TestSecurity/AuthenticationAPITest.java:80</x:v>
      </x:c>
    </x:row>
    <x:row r="64" ht="48" customHeight="1">
      <x:c r="A64" s="17" t="str">
        <x:v>OHR54
AUTHZ_01</x:v>
      </x:c>
      <x:c r="B64" s="17" t="str">
        <x:v>Status theo Excel + Admin bắt buộc 200; Content-Type JSON; data list không rỗng.</x:v>
      </x:c>
      <x:c r="C64" s="17" t="str">
        <x:v>docs/authorization-testing.md:37</x:v>
      </x:c>
      <x:c r="D64" s="17" t="str">
        <x:v>src/test/java/com/hrm/TestCase/TestSecurity/AuthorizationAPITest.java:91</x:v>
      </x:c>
    </x:row>
    <x:row r="65" ht="48" customHeight="1">
      <x:c r="A65" s="16" t="str">
        <x:v>OHR54
AUTHZ_02</x:v>
      </x:c>
      <x:c r="B65" s="16" t="str">
        <x:v>Status đọc Excel hiện là 403; assert JSON và data null. Java chưa ràng buộc riêng 403 cho endpoint Admin.</x:v>
      </x:c>
      <x:c r="C65" s="16" t="str">
        <x:v>docs/authorization-testing.md:35
docs/authorization-testing.md:54</x:v>
      </x:c>
      <x:c r="D65" s="16" t="str">
        <x:v>src/test/java/com/hrm/TestCase/TestSecurity/AuthorizationAPITest.java:91</x:v>
      </x:c>
    </x:row>
    <x:row r="66" ht="48" customHeight="1">
      <x:c r="A66" s="17" t="str">
        <x:v>OHR54
AUTHZ_03</x:v>
      </x:c>
      <x:c r="B66" s="17" t="str">
        <x:v>Setup ESS own/Admin target đều 200 có data; own!=target. Test JSON/data null; 422 đúng message và invalidParamKeys empNumber.</x:v>
      </x:c>
      <x:c r="C66" s="17" t="str">
        <x:v>docs/authorization-testing.md:71
docs/authorization-testing.md:90</x:v>
      </x:c>
      <x:c r="D66" s="17" t="str">
        <x:v>src/test/java/com/hrm/TestCase/TestSecurity/AuthorizationAPITest.java:91</x:v>
      </x:c>
    </x:row>
    <x:row r="67" ht="50.25" customHeight="1">
      <x:c r="A67" s="16" t="str">
        <x:v>OHR55
INJ_01</x:v>
      </x:c>
      <x:c r="B67" s="16" t="str">
        <x:v>Status theo Excel (200/400/422), JSON, !=500, quét marker DB. Nếu 200: từng username chỉ cần chứa payload; lỗi: Invalid Parameter/data null.</x:v>
      </x:c>
      <x:c r="C67" s="16" t="str">
        <x:v>docs/injection-testing.md:28
docs/injection-testing.md:33</x:v>
      </x:c>
      <x:c r="D67" s="16" t="str">
        <x:v>src/test/java/com/hrm/TestCase/TestSecurity/InjectionAPITest.java:71</x:v>
      </x:c>
    </x:row>
    <x:row r="68" ht="50.25" customHeight="1">
      <x:c r="A68" s="17" t="str">
        <x:v>OHR55
INJ_02</x:v>
      </x:c>
      <x:c r="B68" s="17" t="str">
        <x:v>Status theo Excel (200/400/422), JSON, !=500, quét marker DB. Nếu 200: từng username chỉ cần chứa payload; lỗi: Invalid Parameter/data null.</x:v>
      </x:c>
      <x:c r="C68" s="17" t="str">
        <x:v>docs/injection-testing.md:28
docs/injection-testing.md:33</x:v>
      </x:c>
      <x:c r="D68" s="17" t="str">
        <x:v>src/test/java/com/hrm/TestCase/TestSecurity/InjectionAPITest.java:71</x:v>
      </x:c>
    </x:row>
    <x:row r="69" ht="50.25" customHeight="1">
      <x:c r="A69" s="16" t="str">
        <x:v>OHR55
INJ_03</x:v>
      </x:c>
      <x:c r="B69" s="16" t="str">
        <x:v>Status theo Excel (200/400/422), JSON, !=500, quét marker DB. Nếu 200: từng username chỉ cần chứa payload; lỗi: Invalid Parameter/data null.</x:v>
      </x:c>
      <x:c r="C69" s="16" t="str">
        <x:v>docs/injection-testing.md:28
docs/injection-testing.md:33</x:v>
      </x:c>
      <x:c r="D69" s="16" t="str">
        <x:v>src/test/java/com/hrm/TestCase/TestSecurity/InjectionAPITest.java:71</x:v>
      </x:c>
    </x:row>
    <x:row r="70" ht="48" customHeight="1">
      <x:c r="A70" s="17" t="str">
        <x:v>OHR56
API_01</x:v>
      </x:c>
      <x:c r="B70" s="17" t="str">
        <x:v>200; data không null/rỗng; record đầu có empNumber/firstName; meta.total &gt;= số record.</x:v>
      </x:c>
      <x:c r="C70" s="17" t="str">
        <x:v>https://api-starter-orangehrm.readme.io/reference/list-all-employees
docs/pim-api-testing.md:51</x:v>
      </x:c>
      <x:c r="D70" s="17" t="str">
        <x:v>src/test/java/com/hrm/TestCase/TestAPI/PIMAPITest.java:45</x:v>
      </x:c>
    </x:row>
    <x:row r="71" ht="48" customHeight="1">
      <x:c r="A71" s="16" t="str">
        <x:v>OHR57
API_02</x:v>
      </x:c>
      <x:c r="B71" s="16" t="str">
        <x:v>200; data !=null; empNumber/firstName/lastName đúng baseline list.</x:v>
      </x:c>
      <x:c r="C71" s="16" t="str">
        <x:v>https://api-starter-orangehrm.readme.io/reference/get-an-employee
docs/pim-api-testing.md:62</x:v>
      </x:c>
      <x:c r="D71" s="16" t="str">
        <x:v>src/test/java/com/hrm/TestCase/TestAPI/PIMAPITest.java:69</x:v>
      </x:c>
    </x:row>
    <x:row r="72" ht="48" customHeight="1">
      <x:c r="A72" s="17" t="str">
        <x:v>OHR58
API_03</x:v>
      </x:c>
      <x:c r="B72" s="17" t="str">
        <x:v>200; data có phần tử; chứa ID đối chứng; fullName mỗi record contains input, bỏ qua hoa/thường.</x:v>
      </x:c>
      <x:c r="C72" s="17" t="str">
        <x:v>https://api-starter-orangehrm.readme.io/reference/list-all-employees
docs/pim-api-testing.md:73</x:v>
      </x:c>
      <x:c r="D72" s="17" t="str">
        <x:v>src/test/java/com/hrm/TestCase/TestAPI/PIMAPITest.java:90</x:v>
      </x:c>
    </x:row>
    <x:row r="73" ht="48" customHeight="1">
      <x:c r="A73" s="16" t="str">
        <x:v>OHR59
API_04</x:v>
      </x:c>
      <x:c r="B73" s="16" t="str">
        <x:v>Lấy max ID trong list truy cập được +1; assert404 trước, sau đó data null và error.message.</x:v>
      </x:c>
      <x:c r="C73" s="16" t="str">
        <x:v>https://api-starter-orangehrm.readme.io/reference/get-an-employee
docs/pim-api-testing.md:47</x:v>
      </x:c>
      <x:c r="D73" s="16" t="str">
        <x:v>src/test/java/com/hrm/TestCase/TestAPI/PIMAPITest.java:120</x:v>
      </x:c>
    </x:row>
    <x:row r="74" ht="50.25" customHeight="1">
      <x:c r="A74" s="17" t="str">
        <x:v>OHR60
API_05</x:v>
      </x:c>
      <x:c r="B74" s="17" t="str">
        <x:v>POST200/empNumber/employeeId; GET200 đúng empNumber/employeeId/firstName/lastName; cleanup riêng.</x:v>
      </x:c>
      <x:c r="C74" s="17" t="str">
        <x:v>https://api-starter-orangehrm.readme.io/reference/create-an-employee
https://api-starter-orangehrm.readme.io/reference/get-an-employee
docs/pim-api-crud-testing.md:25</x:v>
      </x:c>
      <x:c r="D74" s="17" t="str">
        <x:v>src/test/java/com/hrm/TestCase/TestAPI/PIMAPI/APICreateEmployeeTest.java:30</x:v>
      </x:c>
    </x:row>
    <x:row r="75" ht="48" customHeight="1">
      <x:c r="A75" s="16" t="str">
        <x:v>OHR61
API_06</x:v>
      </x:c>
      <x:c r="B75" s="16" t="str">
        <x:v>Setup tạo riêng; PUT200/data/firstName; GET200 đúng ID, tên mới, employeeId, lastName.</x:v>
      </x:c>
      <x:c r="C75" s="16" t="str">
        <x:v>https://api-starter-orangehrm.readme.io/reference/update-an-employees-personal-details
docs/pim-api-crud-testing.md:37</x:v>
      </x:c>
      <x:c r="D75" s="16" t="str">
        <x:v>src/test/java/com/hrm/TestCase/TestAPI/PIMAPI/APIUpdateEmployeeTest.java:30</x:v>
      </x:c>
    </x:row>
    <x:row r="76" ht="50.25" customHeight="1">
      <x:c r="A76" s="17" t="str">
        <x:v>OHR62
API_07</x:v>
      </x:c>
      <x:c r="B76" s="17" t="str">
        <x:v>DELETE200; GET list200/data không null và rỗng; cleanup dự phòng nếu cần.</x:v>
      </x:c>
      <x:c r="C76" s="17" t="str">
        <x:v>https://api-starter-orangehrm.readme.io/reference/delete-employees
https://api-starter-orangehrm.readme.io/reference/list-all-employees
docs/pim-api-crud-testing.md:50</x:v>
      </x:c>
      <x:c r="D76" s="17" t="str">
        <x:v>src/test/java/com/hrm/TestCase/TestAPI/PIMAPI/APIDeleteEmployeeTest.java:30</x:v>
      </x:c>
    </x:row>
    <x:row r="77" ht="48" customHeight="1">
      <x:c r="A77" s="16" t="str">
        <x:v>OHR63</x:v>
      </x:c>
      <x:c r="B77" s="16" t="str">
        <x:v>200; data list !=null và không rỗng.</x:v>
      </x:c>
      <x:c r="C77" s="16" t="str">
        <x:v>docs/authorization-testing.md:37</x:v>
      </x:c>
      <x:c r="D77" s="16" t="str">
        <x:v>src/test/java/com/hrm/TestCase/TestAPI/AdminAPI/GetUserListAPITest.java:20</x:v>
      </x:c>
    </x:row>
    <x:row r="78" ht="48" customHeight="1">
      <x:c r="A78" s="17" t="str">
        <x:v>OHR64
REC_VAL_01</x:v>
      </x:c>
      <x:c r="B78" s="17" t="str">
        <x:v>Assert422; invalidParamKeys chứa firstName; data null. Giữ ID riêng để cleanup nếu server tạo nhầm.</x:v>
      </x:c>
      <x:c r="C78" s="17" t="str">
        <x:v>https://api-starter-orangehrm.readme.io/reference/create-a-candidate
docs/recruitment-api-validation.md:89</x:v>
      </x:c>
      <x:c r="D78" s="17" t="str">
        <x:v>src/test/java/com/hrm/TestCase/TestAPI/RecruitmentAPI/APICandidateRequiredFieldTest.java:41</x:v>
      </x:c>
    </x:row>
    <x:row r="79" ht="48" customHeight="1">
      <x:c r="A79" s="16" t="str">
        <x:v>OHR64
REC_VAL_02</x:v>
      </x:c>
      <x:c r="B79" s="16" t="str">
        <x:v>Assert422; invalidParamKeys chứa lastName; data null. Giữ ID riêng để cleanup nếu server tạo nhầm.</x:v>
      </x:c>
      <x:c r="C79" s="16" t="str">
        <x:v>https://api-starter-orangehrm.readme.io/reference/create-a-candidate
docs/recruitment-api-validation.md:89</x:v>
      </x:c>
      <x:c r="D79" s="16" t="str">
        <x:v>src/test/java/com/hrm/TestCase/TestAPI/RecruitmentAPI/APICandidateRequiredFieldTest.java:41</x:v>
      </x:c>
    </x:row>
    <x:row r="80" ht="48" customHeight="1">
      <x:c r="A80" s="17" t="str">
        <x:v>OHR64
REC_VAL_03</x:v>
      </x:c>
      <x:c r="B80" s="17" t="str">
        <x:v>Assert422; invalidParamKeys chứa email; data null. Giữ ID riêng để cleanup nếu server tạo nhầm.</x:v>
      </x:c>
      <x:c r="C80" s="17" t="str">
        <x:v>https://api-starter-orangehrm.readme.io/reference/create-a-candidate
docs/recruitment-api-validation.md:89</x:v>
      </x:c>
      <x:c r="D80" s="17" t="str">
        <x:v>src/test/java/com/hrm/TestCase/TestAPI/RecruitmentAPI/APICandidateRequiredFieldTest.java:41</x:v>
      </x:c>
    </x:row>
    <x:row r="81" ht="48" customHeight="1">
      <x:c r="A81" s="16" t="str">
        <x:v>OHR65
REC_VAL_04</x:v>
      </x:c>
      <x:c r="B81" s="16" t="str">
        <x:v>Assert422; invalidParamKeys chứa email; data null. Giữ ID riêng để cleanup nếu server tạo nhầm.</x:v>
      </x:c>
      <x:c r="C81" s="16" t="str">
        <x:v>https://api-starter-orangehrm.readme.io/reference/create-a-candidate
docs/recruitment-api-validation.md:89</x:v>
      </x:c>
      <x:c r="D81" s="16" t="str">
        <x:v>src/test/java/com/hrm/TestCase/TestAPI/RecruitmentAPI/APICandidateValidationTest.java:40</x:v>
      </x:c>
    </x:row>
    <x:row r="82" ht="48" customHeight="1">
      <x:c r="A82" s="17" t="str">
        <x:v>OHR65
REC_VAL_05</x:v>
      </x:c>
      <x:c r="B82" s="17" t="str">
        <x:v>Assert422; invalidParamKeys chứa firstName; data null. Giữ ID riêng để cleanup nếu server tạo nhầm.</x:v>
      </x:c>
      <x:c r="C82" s="17" t="str">
        <x:v>https://api-starter-orangehrm.readme.io/reference/create-a-candidate
docs/recruitment-api-validation.md:89</x:v>
      </x:c>
      <x:c r="D82" s="17" t="str">
        <x:v>src/test/java/com/hrm/TestCase/TestAPI/RecruitmentAPI/APICandidateValidationTest.java:40</x:v>
      </x:c>
    </x:row>
    <x:row r="83" ht="48" customHeight="1">
      <x:c r="A83" s="16" t="str">
        <x:v>OHR66
REC_VAL_06</x:v>
      </x:c>
      <x:c r="B83" s="16" t="str">
        <x:v>POST200, có ID đúng marker; GET200/đúng ID/firstName bằng input; cleanup candidate riêng.</x:v>
      </x:c>
      <x:c r="C83" s="16" t="str">
        <x:v>https://api-starter-orangehrm.readme.io/reference/create-a-candidate
docs/recruitment-api-validation.md:48</x:v>
      </x:c>
      <x:c r="D83" s="16" t="str">
        <x:v>src/test/java/com/hrm/TestCase/TestAPI/RecruitmentAPI/APICandidateBoundaryTest.java:40</x:v>
      </x:c>
    </x:row>
    <x:row r="84" ht="48" customHeight="1">
      <x:c r="A84" s="17" t="str">
        <x:v>OHR66
REC_VAL_07</x:v>
      </x:c>
      <x:c r="B84" s="17" t="str">
        <x:v>POST200, có ID đúng marker; GET200/đúng ID/firstName bằng input; cleanup candidate riêng.</x:v>
      </x:c>
      <x:c r="C84" s="17" t="str">
        <x:v>https://api-starter-orangehrm.readme.io/reference/create-a-candidate
docs/recruitment-api-validation.md:48</x:v>
      </x:c>
      <x:c r="D84" s="17" t="str">
        <x:v>src/test/java/com/hrm/TestCase/TestAPI/RecruitmentAPI/APICandidateBoundaryTest.java:40</x:v>
      </x:c>
    </x:row>
    <x:row r="85" ht="48" customHeight="1">
      <x:c r="A85" s="16" t="str">
        <x:v>OHR66
REC_VAL_08</x:v>
      </x:c>
      <x:c r="B85" s="16" t="str">
        <x:v>Assert422; invalidParamKeys chứa firstName; data null; cleanup dự phòng nếu tạo nhầm.</x:v>
      </x:c>
      <x:c r="C85" s="16" t="str">
        <x:v>https://api-starter-orangehrm.readme.io/reference/create-a-candidate
docs/recruitment-api-validation.md:89</x:v>
      </x:c>
      <x:c r="D85" s="16" t="str">
        <x:v>src/test/java/com/hrm/TestCase/TestAPI/RecruitmentAPI/APICandidateBoundaryTest.java:40</x:v>
      </x:c>
    </x:row>
  </x:sheetData>
  <x:pageMargins left="0.7" right="0.7" top="0.75" bottom="0.75" header="0.3" footer="0.3"/>
  <x:tableParts count="1">
    <x:tablePart xmlns:r="http://schemas.openxmlformats.org/officeDocument/2006/relationships" r:id="R5592114e3d8c4a4b"/>
  </x:tableParts>
</x:worksheet>
</file>